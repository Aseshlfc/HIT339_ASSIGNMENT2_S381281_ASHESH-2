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quirements RTM" sheetId="2" state="visible" r:id="rId2"/>
    <sheet xmlns:r="http://schemas.openxmlformats.org/officeDocument/2006/relationships" name="User stories" sheetId="3" state="visible" r:id="rId3"/>
    <sheet xmlns:r="http://schemas.openxmlformats.org/officeDocument/2006/relationships" name="Billable tasks" sheetId="4" state="visible" r:id="rId4"/>
    <sheet xmlns:r="http://schemas.openxmlformats.org/officeDocument/2006/relationships" name="Totals" sheetId="5" state="visible" r:id="rId5"/>
    <sheet xmlns:r="http://schemas.openxmlformats.org/officeDocument/2006/relationships" name="Time log"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7A1F2B"/>
      <sz val="14"/>
    </font>
    <font>
      <b val="1"/>
      <color rgb="00FFFFFF"/>
    </font>
    <font>
      <b val="1"/>
    </font>
  </fonts>
  <fills count="4">
    <fill>
      <patternFill/>
    </fill>
    <fill>
      <patternFill patternType="gray125"/>
    </fill>
    <fill>
      <patternFill patternType="solid">
        <fgColor rgb="007A1F2B"/>
      </patternFill>
    </fill>
    <fill>
      <patternFill patternType="solid">
        <fgColor rgb="00FFF2A8"/>
      </patternFill>
    </fill>
  </fills>
  <borders count="2">
    <border>
      <left/>
      <right/>
      <top/>
      <bottom/>
      <diagonal/>
    </border>
    <border>
      <left style="thin">
        <color rgb="00D9C9A8"/>
      </left>
      <right style="thin">
        <color rgb="00D9C9A8"/>
      </right>
      <top style="thin">
        <color rgb="00D9C9A8"/>
      </top>
      <bottom style="thin">
        <color rgb="00D9C9A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2"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RTM" displayName="RTM" ref="A1:I23" headerRowCount="1">
  <autoFilter ref="A1:I23"/>
  <tableColumns count="9">
    <tableColumn id="1" name="ID"/>
    <tableColumn id="2" name="Source"/>
    <tableColumn id="3" name="Requirement"/>
    <tableColumn id="4" name="Owner"/>
    <tableColumn id="5" name="Implementation"/>
    <tableColumn id="6" name="Tests (methods)"/>
    <tableColumn id="7" name="Evidence"/>
    <tableColumn id="8" name="Status"/>
    <tableColumn id="9" name="Gap / to confirm"/>
  </tableColumns>
  <tableStyleInfo name="TableStyleLight1" showRowStripes="1"/>
</table>
</file>

<file path=xl/tables/table2.xml><?xml version="1.0" encoding="utf-8"?>
<table xmlns="http://schemas.openxmlformats.org/spreadsheetml/2006/main" id="2" name="Stories" displayName="Stories" ref="A1:H17" headerRowCount="1">
  <autoFilter ref="A1:H17"/>
  <tableColumns count="8">
    <tableColumn id="1" name="ID"/>
    <tableColumn id="2" name="Persona"/>
    <tableColumn id="3" name="Story (I want to...)"/>
    <tableColumn id="4" name="Priority (MoSCoW)"/>
    <tableColumn id="5" name="Screens"/>
    <tableColumn id="6" name="Flow / diagram"/>
    <tableColumn id="7" name="Tests"/>
    <tableColumn id="8" name="Status"/>
  </tableColumns>
  <tableStyleInfo name="TableStyleLight1" showRowStripes="1"/>
</table>
</file>

<file path=xl/tables/table3.xml><?xml version="1.0" encoding="utf-8"?>
<table xmlns="http://schemas.openxmlformats.org/spreadsheetml/2006/main" id="3" name="Tasks" displayName="Tasks" ref="A1:H69" headerRowCount="1">
  <autoFilter ref="A1:H69"/>
  <tableColumns count="8">
    <tableColumn id="1" name="ID"/>
    <tableColumn id="2" name="Area"/>
    <tableColumn id="3" name="Task"/>
    <tableColumn id="4" name="Allocated to"/>
    <tableColumn id="5" name="Estimated hours (12 Oct)"/>
    <tableColumn id="6" name="Actual hours"/>
    <tableColumn id="7" name="Deliverable"/>
    <tableColumn id="8" name="Status"/>
  </tableColumns>
  <tableStyleInfo name="TableStyleLight1" showRowStripes="1"/>
</table>
</file>

<file path=xl/tables/table4.xml><?xml version="1.0" encoding="utf-8"?>
<table xmlns="http://schemas.openxmlformats.org/spreadsheetml/2006/main" id="4" name="TimeLog" displayName="TimeLog" ref="A1:E32" headerRowCount="1">
  <autoFilter ref="A1:E32"/>
  <tableColumns count="5">
    <tableColumn id="1" name="Date"/>
    <tableColumn id="2" name="Member"/>
    <tableColumn id="3" name="Task ID"/>
    <tableColumn id="4" name="What was done"/>
    <tableColumn id="5" name="Hour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HIT339 Group 16: traceability and billable hours</t>
        </is>
      </c>
    </row>
    <row r="2">
      <c r="A2" t="inlineStr">
        <is>
          <t>Version 1.1, 16 October 2026. Release documented: main at b695674 (application code as at 55fbc1d). Synchronised with the group portfolio.</t>
        </is>
      </c>
    </row>
    <row r="3"/>
    <row r="4">
      <c r="A4" t="inlineStr">
        <is>
          <t>Requirements RTM: every brief requirement with its owner, code, tests, evidence and gap.</t>
        </is>
      </c>
    </row>
    <row r="5">
      <c r="A5" t="inlineStr">
        <is>
          <t>User stories: the 16 user stories with their screens, flows and tests.</t>
        </is>
      </c>
    </row>
    <row r="6">
      <c r="A6" t="inlineStr">
        <is>
          <t>Billable tasks: tasks, allocations, 12 October planning estimates and the actual hours each member entered. Ashesh's actual hours are retrospective estimates made on 16 October 2026 from the commits and pull requests, not recorded timesheets. Estimates are not hours worked.</t>
        </is>
      </c>
    </row>
    <row r="7">
      <c r="A7" t="inlineStr">
        <is>
          <t>Totals: formulas over the Billable tasks sheet.</t>
        </is>
      </c>
    </row>
    <row r="8">
      <c r="A8" t="inlineStr">
        <is>
          <t>Time log: one row per recorded work session (Susan and Milan). Ashesh kept no time log; his hours are per-task estimates in Billable tasks.</t>
        </is>
      </c>
    </row>
    <row r="9"/>
    <row r="10">
      <c r="A10" t="inlineStr">
        <is>
          <t>Yellow cells are hours still to be entered by the member concerned.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50" customWidth="1" min="3" max="3"/>
    <col width="18" customWidth="1" min="4" max="4"/>
    <col width="40" customWidth="1" min="5" max="5"/>
    <col width="40" customWidth="1" min="6" max="6"/>
    <col width="30" customWidth="1" min="7" max="7"/>
    <col width="13" customWidth="1" min="8" max="8"/>
    <col width="36" customWidth="1" min="9" max="9"/>
  </cols>
  <sheetData>
    <row r="1">
      <c r="A1" s="2" t="inlineStr">
        <is>
          <t>ID</t>
        </is>
      </c>
      <c r="B1" s="2" t="inlineStr">
        <is>
          <t>Source</t>
        </is>
      </c>
      <c r="C1" s="2" t="inlineStr">
        <is>
          <t>Requirement</t>
        </is>
      </c>
      <c r="D1" s="2" t="inlineStr">
        <is>
          <t>Owner</t>
        </is>
      </c>
      <c r="E1" s="2" t="inlineStr">
        <is>
          <t>Implementation</t>
        </is>
      </c>
      <c r="F1" s="2" t="inlineStr">
        <is>
          <t>Tests (methods)</t>
        </is>
      </c>
      <c r="G1" s="2" t="inlineStr">
        <is>
          <t>Evidence</t>
        </is>
      </c>
      <c r="H1" s="2" t="inlineStr">
        <is>
          <t>Status</t>
        </is>
      </c>
      <c r="I1" s="2" t="inlineStr">
        <is>
          <t>Gap / to confirm</t>
        </is>
      </c>
    </row>
    <row r="2">
      <c r="A2" s="3" t="inlineStr">
        <is>
          <t>PA-1</t>
        </is>
      </c>
      <c r="B2" s="3" t="inlineStr">
        <is>
          <t>Brief Part A</t>
        </is>
      </c>
      <c r="C2" s="3" t="inlineStr">
        <is>
          <t>Installation and running instructions from Git for each branch location; tested on the VM</t>
        </is>
      </c>
      <c r="D2" s="3" t="inlineStr">
        <is>
          <t>Ashesh</t>
        </is>
      </c>
      <c r="E2" s="3" t="inlineStr">
        <is>
          <t>Installation Manual; README</t>
        </is>
      </c>
      <c r="F2" s="3" t="inlineStr">
        <is>
          <t>374 tests passed on macOS and on Milan's and Susan's Windows 11 PCs (16 Oct)</t>
        </is>
      </c>
      <c r="G2" s="3" t="inlineStr">
        <is>
          <t>Installation Manual step 9: Windows PC test record and screenshots</t>
        </is>
      </c>
      <c r="H2" s="3" t="inlineStr">
        <is>
          <t>Met on Windows PCs; designated VM test pending</t>
        </is>
      </c>
      <c r="I2" s="3" t="inlineStr">
        <is>
          <t>Designated VM test being arranged by Susan; results pending</t>
        </is>
      </c>
    </row>
    <row r="3">
      <c r="A3" s="3" t="inlineStr">
        <is>
          <t>PA-2</t>
        </is>
      </c>
      <c r="B3" s="3" t="inlineStr">
        <is>
          <t>Brief Part A</t>
        </is>
      </c>
      <c r="C3" s="3" t="inlineStr">
        <is>
          <t>User guide (manual and/or video) for patrons to use search</t>
        </is>
      </c>
      <c r="D3" s="3" t="inlineStr">
        <is>
          <t>Susan</t>
        </is>
      </c>
      <c r="E3" s="3" t="inlineStr">
        <is>
          <t>Patron User Guide</t>
        </is>
      </c>
      <c r="F3" s="3" t="inlineStr">
        <is>
          <t>Screens verified against the running app</t>
        </is>
      </c>
      <c r="G3" s="3" t="inlineStr">
        <is>
          <t>Screenshots P01-P16</t>
        </is>
      </c>
      <c r="H3" s="3" t="inlineStr">
        <is>
          <t>Met (manual)</t>
        </is>
      </c>
      <c r="I3" s="3" t="inlineStr"/>
    </row>
    <row r="4">
      <c r="A4" s="3" t="inlineStr">
        <is>
          <t>PA-3.1</t>
        </is>
      </c>
      <c r="B4" s="3" t="inlineStr">
        <is>
          <t>Brief Project Plan 1</t>
        </is>
      </c>
      <c r="C4" s="3" t="inlineStr">
        <is>
          <t>Team contracts</t>
        </is>
      </c>
      <c r="D4" s="3" t="inlineStr">
        <is>
          <t>All</t>
        </is>
      </c>
      <c r="E4" s="3" t="inlineStr">
        <is>
          <t>Team Contract</t>
        </is>
      </c>
      <c r="F4" s="3" t="inlineStr"/>
      <c r="G4" s="3" t="inlineStr"/>
      <c r="H4" s="3" t="inlineStr">
        <is>
          <t>Met</t>
        </is>
      </c>
      <c r="I4" s="3" t="inlineStr">
        <is>
          <t>Ashesh to sign (Susan and Milan signed on 08/10/2026)</t>
        </is>
      </c>
    </row>
    <row r="5">
      <c r="A5" s="3" t="inlineStr">
        <is>
          <t>PA-3.2</t>
        </is>
      </c>
      <c r="B5" s="3" t="inlineStr">
        <is>
          <t>Brief Project Plan 2</t>
        </is>
      </c>
      <c r="C5" s="3" t="inlineStr">
        <is>
          <t>Requirements document and notes</t>
        </is>
      </c>
      <c r="D5" s="3" t="inlineStr">
        <is>
          <t>Ashesh</t>
        </is>
      </c>
      <c r="E5" s="3" t="inlineStr">
        <is>
          <t>Requirements Document; this workbook</t>
        </is>
      </c>
      <c r="F5" s="3" t="inlineStr"/>
      <c r="G5" s="3" t="inlineStr">
        <is>
          <t>Section docs in repo</t>
        </is>
      </c>
      <c r="H5" s="3" t="inlineStr">
        <is>
          <t>Met</t>
        </is>
      </c>
      <c r="I5" s="3" t="inlineStr"/>
    </row>
    <row r="6">
      <c r="A6" s="3" t="inlineStr">
        <is>
          <t>PA-3.3</t>
        </is>
      </c>
      <c r="B6" s="3" t="inlineStr">
        <is>
          <t>Brief Project Plan 3</t>
        </is>
      </c>
      <c r="C6" s="3" t="inlineStr">
        <is>
          <t>Team's approach</t>
        </is>
      </c>
      <c r="D6" s="3" t="inlineStr">
        <is>
          <t>Ashesh</t>
        </is>
      </c>
      <c r="E6" s="3" t="inlineStr">
        <is>
          <t>Development Approach</t>
        </is>
      </c>
      <c r="F6" s="3" t="inlineStr"/>
      <c r="G6" s="3" t="inlineStr">
        <is>
          <t>Git history</t>
        </is>
      </c>
      <c r="H6" s="3" t="inlineStr">
        <is>
          <t>Met</t>
        </is>
      </c>
      <c r="I6" s="3" t="inlineStr"/>
    </row>
    <row r="7">
      <c r="A7" s="3" t="inlineStr">
        <is>
          <t>PA-3.4</t>
        </is>
      </c>
      <c r="B7" s="3" t="inlineStr">
        <is>
          <t>Brief Project Plan 4</t>
        </is>
      </c>
      <c r="C7" s="3" t="inlineStr">
        <is>
          <t>Links to PM sites with read credentials for the lecturer; trial lasts 2 weeks past submission</t>
        </is>
      </c>
      <c r="D7" s="3" t="inlineStr">
        <is>
          <t>Ashesh</t>
        </is>
      </c>
      <c r="E7" s="3" t="inlineStr">
        <is>
          <t>PM and Repository Access</t>
        </is>
      </c>
      <c r="F7" s="3" t="inlineStr"/>
      <c r="G7" s="3" t="inlineStr">
        <is>
          <t>Public GitHub repository</t>
        </is>
      </c>
      <c r="H7" s="3" t="inlineStr">
        <is>
          <t>Met</t>
        </is>
      </c>
      <c r="I7" s="3" t="inlineStr">
        <is>
          <t>Repository public since 16 Oct 2026; no invitation needed</t>
        </is>
      </c>
    </row>
    <row r="8">
      <c r="A8" s="3" t="inlineStr">
        <is>
          <t>PA-3.5</t>
        </is>
      </c>
      <c r="B8" s="3" t="inlineStr">
        <is>
          <t>Brief Project Plan 5</t>
        </is>
      </c>
      <c r="C8" s="3" t="inlineStr">
        <is>
          <t>Billable tasks with hours and allocations</t>
        </is>
      </c>
      <c r="D8" s="3" t="inlineStr">
        <is>
          <t>Ashesh</t>
        </is>
      </c>
      <c r="E8" s="3" t="inlineStr">
        <is>
          <t>Billable Tasks; sheet "Billable tasks"</t>
        </is>
      </c>
      <c r="F8" s="3" t="inlineStr"/>
      <c r="G8" s="3" t="inlineStr">
        <is>
          <t>12 Oct estimates</t>
        </is>
      </c>
      <c r="H8" s="3" t="inlineStr">
        <is>
          <t>Met</t>
        </is>
      </c>
      <c r="I8" s="3" t="inlineStr">
        <is>
          <t>Ashesh's actual hours are retrospective estimates; some of Susan's and Milan's portfolio tasks have no hours entered</t>
        </is>
      </c>
    </row>
    <row r="9">
      <c r="A9" s="3" t="inlineStr">
        <is>
          <t>PA-3.6</t>
        </is>
      </c>
      <c r="B9" s="3" t="inlineStr">
        <is>
          <t>Brief Project Plan 6</t>
        </is>
      </c>
      <c r="C9" s="3" t="inlineStr">
        <is>
          <t>Meeting minutes</t>
        </is>
      </c>
      <c r="D9" s="3" t="inlineStr">
        <is>
          <t>All</t>
        </is>
      </c>
      <c r="E9" s="3" t="inlineStr">
        <is>
          <t>Meeting minutes M-01 and M-02 (portfolio 10.3); coordination records PCR-01 to PCR-15</t>
        </is>
      </c>
      <c r="F9" s="3" t="inlineStr"/>
      <c r="G9" s="3" t="inlineStr">
        <is>
          <t>GitHub PRs; Git history; SECTION3_NOTES.md</t>
        </is>
      </c>
      <c r="H9" s="3" t="inlineStr">
        <is>
          <t>Met</t>
        </is>
      </c>
      <c r="I9" s="3" t="n"/>
    </row>
    <row r="10">
      <c r="A10" s="3" t="inlineStr">
        <is>
          <t>PA-3.7</t>
        </is>
      </c>
      <c r="B10" s="3" t="inlineStr">
        <is>
          <t>Brief Project Plan 7</t>
        </is>
      </c>
      <c r="C10" s="3" t="inlineStr">
        <is>
          <t>Team's strengths and weaknesses</t>
        </is>
      </c>
      <c r="D10" s="3" t="inlineStr">
        <is>
          <t>All</t>
        </is>
      </c>
      <c r="E10" s="3" t="inlineStr">
        <is>
          <t>Strengths, Weaknesses and Reflection</t>
        </is>
      </c>
      <c r="F10" s="3" t="inlineStr"/>
      <c r="G10" s="3" t="inlineStr">
        <is>
          <t>Git and PR evidence</t>
        </is>
      </c>
      <c r="H10" s="3" t="inlineStr">
        <is>
          <t>Met</t>
        </is>
      </c>
      <c r="I10" s="3" t="n"/>
    </row>
    <row r="11">
      <c r="A11" s="3" t="inlineStr">
        <is>
          <t>D-1</t>
        </is>
      </c>
      <c r="B11" s="3" t="inlineStr">
        <is>
          <t>Brief deliverables</t>
        </is>
      </c>
      <c r="C11" s="3" t="inlineStr">
        <is>
          <t>Portfolio PDF with PM artefacts, integration diagrams, user journey maps</t>
        </is>
      </c>
      <c r="D11" s="3" t="inlineStr">
        <is>
          <t>All</t>
        </is>
      </c>
      <c r="E11" s="3" t="inlineStr">
        <is>
          <t>Group Portfolio</t>
        </is>
      </c>
      <c r="F11" s="3" t="inlineStr"/>
      <c r="G11" s="3" t="inlineStr">
        <is>
          <t>Diagrams D01-D05, F01-F06; journeys J01-J04; storyboards, sketches, wireframes</t>
        </is>
      </c>
      <c r="H11" s="3" t="inlineStr">
        <is>
          <t>Met</t>
        </is>
      </c>
      <c r="I11" s="3" t="inlineStr"/>
    </row>
    <row r="12">
      <c r="A12" s="3" t="inlineStr">
        <is>
          <t>D-2</t>
        </is>
      </c>
      <c r="B12" s="3" t="inlineStr">
        <is>
          <t>Brief deliverables</t>
        </is>
      </c>
      <c r="C12" s="3" t="inlineStr">
        <is>
          <t>Repository with .NET 10 solution; README on modules, multi-branch seeding, testing</t>
        </is>
      </c>
      <c r="D12" s="3" t="inlineStr">
        <is>
          <t>Ashesh</t>
        </is>
      </c>
      <c r="E12" s="3" t="inlineStr">
        <is>
          <t>README.md on main; net10.0</t>
        </is>
      </c>
      <c r="F12" s="3" t="inlineStr">
        <is>
          <t>All tests: 374 at 55fbc1d and at b695674</t>
        </is>
      </c>
      <c r="G12" s="3" t="inlineStr">
        <is>
          <t>main b695674</t>
        </is>
      </c>
      <c r="H12" s="3" t="inlineStr">
        <is>
          <t>Met</t>
        </is>
      </c>
      <c r="I12" s="3" t="inlineStr"/>
    </row>
    <row r="13">
      <c r="A13" s="3" t="inlineStr">
        <is>
          <t>R1</t>
        </is>
      </c>
      <c r="B13" s="3" t="inlineStr">
        <is>
          <t>Brief Part B 1</t>
        </is>
      </c>
      <c r="C13" s="3" t="inlineStr">
        <is>
          <t>Public self-service kiosk: touch-friendly; scan a code to check out or view account summary</t>
        </is>
      </c>
      <c r="D13" s="3" t="inlineStr">
        <is>
          <t>Susan (+ Ashesh integration)</t>
        </is>
      </c>
      <c r="E13" s="3" t="inlineStr">
        <is>
          <t>KioskController, KioskService, KioskSessionStore, KioskPinService, Views/Kiosk</t>
        </is>
      </c>
      <c r="F13" s="3" t="inlineStr">
        <is>
          <t>KioskControllerTests 26, KioskServiceTests 14, KioskSessionTests 16, KioskPinTests 39</t>
        </is>
      </c>
      <c r="G13" s="3" t="inlineStr">
        <is>
          <t>P08-P16; V08-V10</t>
        </is>
      </c>
      <c r="H13" s="3" t="inlineStr">
        <is>
          <t>Met</t>
        </is>
      </c>
      <c r="I13" s="3" t="inlineStr"/>
    </row>
    <row r="14">
      <c r="A14" s="3" t="inlineStr">
        <is>
          <t>R2</t>
        </is>
      </c>
      <c r="B14" s="3" t="inlineStr">
        <is>
          <t>Brief Part B 1</t>
        </is>
      </c>
      <c r="C14" s="3" t="inlineStr">
        <is>
          <t>Secure read-only REST API: items, categories, operating status</t>
        </is>
      </c>
      <c r="D14" s="3" t="inlineStr">
        <is>
          <t>Susan</t>
        </is>
      </c>
      <c r="E14" s="3" t="inlineStr">
        <is>
          <t>CatalogueApiController, Api/</t>
        </is>
      </c>
      <c r="F14" s="3" t="inlineStr">
        <is>
          <t>CatalogueApiTests 16</t>
        </is>
      </c>
      <c r="G14" s="3" t="inlineStr">
        <is>
          <t>I15; docs/SECTION2_API.md</t>
        </is>
      </c>
      <c r="H14" s="3" t="inlineStr">
        <is>
          <t>Met</t>
        </is>
      </c>
      <c r="I14" s="3" t="inlineStr"/>
    </row>
    <row r="15">
      <c r="A15" s="3" t="inlineStr">
        <is>
          <t>R3</t>
        </is>
      </c>
      <c r="B15" s="3" t="inlineStr">
        <is>
          <t>Brief Part B 2</t>
        </is>
      </c>
      <c r="C15" s="3" t="inlineStr">
        <is>
          <t>Simulated email/SMS notifications when borrowed, nearing due date, accruing fines</t>
        </is>
      </c>
      <c r="D15" s="3" t="inlineStr">
        <is>
          <t>Milan; overdue fine notices by Ashesh</t>
        </is>
      </c>
      <c r="E15" s="3" t="inlineStr">
        <is>
          <t>NotificationService, DueDateReminderService (incl. SendOverdueFineNoticesAsync), NotificationsController</t>
        </is>
      </c>
      <c r="F15" s="3" t="inlineStr">
        <is>
          <t>NotificationAndQueueTests 8, DueDateReminderServiceTests 5, OverdueFineNoticeTests 21</t>
        </is>
      </c>
      <c r="G15" s="3" t="inlineStr">
        <is>
          <t>I12; Milan screenshots 01, 02, 09, 13; screenshot 18 (FineAccruing)</t>
        </is>
      </c>
      <c r="H15" s="3" t="inlineStr">
        <is>
          <t>Met</t>
        </is>
      </c>
      <c r="I15" s="3" t="inlineStr">
        <is>
          <t>Overdue notices at most once per loan every 7 days; reminders and notices triggered by the staff due-date check; commit ba03b3c</t>
        </is>
      </c>
    </row>
    <row r="16">
      <c r="A16" s="3" t="inlineStr">
        <is>
          <t>R4</t>
        </is>
      </c>
      <c r="B16" s="3" t="inlineStr">
        <is>
          <t>Brief Part B 2</t>
        </is>
      </c>
      <c r="C16" s="3" t="inlineStr">
        <is>
          <t>Multi-branch inventory: items and desks track branch; inter-branch transfers</t>
        </is>
      </c>
      <c r="D16" s="3" t="inlineStr">
        <is>
          <t>Ashesh</t>
        </is>
      </c>
      <c r="E16" s="3" t="inlineStr">
        <is>
          <t>Branch, ItemTransfer, BranchesController, TransfersController, TransferService</t>
        </is>
      </c>
      <c r="F16" s="3" t="inlineStr">
        <is>
          <t>BranchIntegrationTests 26, BranchesControllerTests 17, TransferTests 35</t>
        </is>
      </c>
      <c r="G16" s="3" t="inlineStr">
        <is>
          <t>I02-I06, I11</t>
        </is>
      </c>
      <c r="H16" s="3" t="inlineStr">
        <is>
          <t>Met</t>
        </is>
      </c>
      <c r="I16" s="3" t="inlineStr"/>
    </row>
    <row r="17">
      <c r="A17" s="3" t="inlineStr">
        <is>
          <t>R5</t>
        </is>
      </c>
      <c r="B17" s="3" t="inlineStr">
        <is>
          <t>Brief Part B 2</t>
        </is>
      </c>
      <c r="C17" s="3" t="inlineStr">
        <is>
          <t>Reservation and waitlist on Borrowed or Damaged items; notify next person when Available</t>
        </is>
      </c>
      <c r="D17" s="3" t="inlineStr">
        <is>
          <t>Milan (+ Ashesh integration)</t>
        </is>
      </c>
      <c r="E17" s="3" t="inlineStr">
        <is>
          <t>Reservation, ReservationService, ReservationsController</t>
        </is>
      </c>
      <c r="F17" s="3" t="inlineStr">
        <is>
          <t>NotificationAndQueueTests, ReservationExpiryTests 4, IntegrationFixTests 46</t>
        </is>
      </c>
      <c r="G17" s="3" t="inlineStr">
        <is>
          <t>I13; Milan screenshots 03-12</t>
        </is>
      </c>
      <c r="H17" s="3" t="inlineStr">
        <is>
          <t>Met</t>
        </is>
      </c>
      <c r="I17" s="3" t="inlineStr"/>
    </row>
    <row r="18">
      <c r="A18" s="3" t="inlineStr">
        <is>
          <t>R6</t>
        </is>
      </c>
      <c r="B18" s="3" t="inlineStr">
        <is>
          <t>Brief Part B 3</t>
        </is>
      </c>
      <c r="C18" s="3" t="inlineStr">
        <is>
          <t>Bulk import via CSV or mock metadata provider</t>
        </is>
      </c>
      <c r="D18" s="3" t="inlineStr">
        <is>
          <t>Susan</t>
        </is>
      </c>
      <c r="E18" s="3" t="inlineStr">
        <is>
          <t>ImportController, ItemImportService, CsvReader</t>
        </is>
      </c>
      <c r="F18" s="3" t="inlineStr">
        <is>
          <t>ItemImportServiceTests 16</t>
        </is>
      </c>
      <c r="G18" s="3" t="inlineStr">
        <is>
          <t>I14; docs/samples</t>
        </is>
      </c>
      <c r="H18" s="3" t="inlineStr">
        <is>
          <t>Met (CSV)</t>
        </is>
      </c>
      <c r="I18" s="3" t="inlineStr">
        <is>
          <t>No mock provider (optional)</t>
        </is>
      </c>
    </row>
    <row r="19">
      <c r="A19" s="3" t="inlineStr">
        <is>
          <t>R7</t>
        </is>
      </c>
      <c r="B19" s="3" t="inlineStr">
        <is>
          <t>Brief Part B 3</t>
        </is>
      </c>
      <c r="C19" s="3" t="inlineStr">
        <is>
          <t>Manager analytics export CSV/PDF: borrowing statistics, fine revenue audit, inventory health</t>
        </is>
      </c>
      <c r="D19" s="3" t="inlineStr">
        <is>
          <t>Ashesh</t>
        </is>
      </c>
      <c r="E19" s="3" t="inlineStr">
        <is>
          <t>ManagerController, ReportService, ReportCsvWriter, ReportPdfService</t>
        </is>
      </c>
      <c r="F19" s="3" t="inlineStr">
        <is>
          <t>ReportTests 44</t>
        </is>
      </c>
      <c r="G19" s="3" t="inlineStr">
        <is>
          <t>I10</t>
        </is>
      </c>
      <c r="H19" s="3" t="inlineStr">
        <is>
          <t>Met</t>
        </is>
      </c>
      <c r="I19" s="3" t="inlineStr"/>
    </row>
    <row r="20">
      <c r="A20" s="3" t="inlineStr">
        <is>
          <t>NF-1</t>
        </is>
      </c>
      <c r="B20" s="3" t="inlineStr">
        <is>
          <t>Brief deliverables</t>
        </is>
      </c>
      <c r="C20" s="3" t="inlineStr">
        <is>
          <t>.NET 10</t>
        </is>
      </c>
      <c r="D20" s="3" t="inlineStr">
        <is>
          <t>Ashesh</t>
        </is>
      </c>
      <c r="E20" s="3" t="inlineStr">
        <is>
          <t>net10.0; EF Core 10.0.13; global.json</t>
        </is>
      </c>
      <c r="F20" s="3" t="inlineStr">
        <is>
          <t>Full suite on .NET 10: macOS and two Windows 11 PCs</t>
        </is>
      </c>
      <c r="G20" s="3" t="inlineStr">
        <is>
          <t>Commit a353210</t>
        </is>
      </c>
      <c r="H20" s="3" t="inlineStr">
        <is>
          <t>Met</t>
        </is>
      </c>
      <c r="I20" s="3" t="inlineStr">
        <is>
          <t>Designated VM test pending</t>
        </is>
      </c>
    </row>
    <row r="21">
      <c r="A21" s="3" t="inlineStr">
        <is>
          <t>NF-2</t>
        </is>
      </c>
      <c r="B21" s="3" t="inlineStr">
        <is>
          <t>Brief Part A</t>
        </is>
      </c>
      <c r="C21" s="3" t="inlineStr">
        <is>
          <t>Runs on the lab VM (Windows)</t>
        </is>
      </c>
      <c r="D21" s="3" t="inlineStr">
        <is>
          <t>All</t>
        </is>
      </c>
      <c r="E21" s="3" t="inlineStr">
        <is>
          <t>Installation Manual; docs/WINDOWS_VM_CHECKLIST.md</t>
        </is>
      </c>
      <c r="F21" s="3" t="inlineStr">
        <is>
          <t>Windows 11 PC tests (Milan, Susan): 374 passed; nine installation checks passed</t>
        </is>
      </c>
      <c r="G21" s="3" t="inlineStr">
        <is>
          <t>Installation Manual step 9</t>
        </is>
      </c>
      <c r="H21" s="3" t="inlineStr">
        <is>
          <t>Partly met: designated VM test pending</t>
        </is>
      </c>
      <c r="I21" s="3" t="inlineStr">
        <is>
          <t>Susan is arranging the designated VM test</t>
        </is>
      </c>
    </row>
    <row r="22">
      <c r="A22" s="3" t="inlineStr">
        <is>
          <t>NF-3</t>
        </is>
      </c>
      <c r="B22" s="3" t="inlineStr">
        <is>
          <t>Group</t>
        </is>
      </c>
      <c r="C22" s="3" t="inlineStr">
        <is>
          <t>Assignment 2 data survives upgrade</t>
        </is>
      </c>
      <c r="D22" s="3" t="inlineStr">
        <is>
          <t>Ashesh</t>
        </is>
      </c>
      <c r="E22" s="3" t="inlineStr">
        <is>
          <t>7 migrations</t>
        </is>
      </c>
      <c r="F22" s="3" t="inlineStr">
        <is>
          <t>Migration tests on a copy of the database</t>
        </is>
      </c>
      <c r="G22" s="3" t="inlineStr"/>
      <c r="H22" s="3" t="inlineStr">
        <is>
          <t>Met</t>
        </is>
      </c>
      <c r="I22" s="3" t="inlineStr"/>
    </row>
    <row r="23">
      <c r="A23" s="3" t="inlineStr">
        <is>
          <t>NF-6</t>
        </is>
      </c>
      <c r="B23" s="3" t="inlineStr">
        <is>
          <t>Group</t>
        </is>
      </c>
      <c r="C23" s="3" t="inlineStr">
        <is>
          <t>Security: roles, anti-forgery, API key, rate limits, hashed PIN, no secrets in docs</t>
        </is>
      </c>
      <c r="D23" s="3" t="inlineStr">
        <is>
          <t>All</t>
        </is>
      </c>
      <c r="E23" s="3" t="inlineStr">
        <is>
          <t>Program.cs, ApiKeyFilter, KioskPinService</t>
        </is>
      </c>
      <c r="F23" s="3" t="inlineStr">
        <is>
          <t>KioskPinTests, CatalogueApiTests, IntegrationFixTests</t>
        </is>
      </c>
      <c r="G23" s="3" t="inlineStr"/>
      <c r="H23" s="3" t="inlineStr">
        <is>
          <t>Met</t>
        </is>
      </c>
      <c r="I23" s="3" t="inlineStr">
        <is>
          <t>Known limits in README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6" customWidth="1" min="3" max="3"/>
    <col width="12" customWidth="1" min="4" max="4"/>
    <col width="22" customWidth="1" min="5" max="5"/>
    <col width="18" customWidth="1" min="6" max="6"/>
    <col width="46" customWidth="1" min="7" max="7"/>
    <col width="18" customWidth="1" min="8" max="8"/>
  </cols>
  <sheetData>
    <row r="1">
      <c r="A1" s="2" t="inlineStr">
        <is>
          <t>ID</t>
        </is>
      </c>
      <c r="B1" s="2" t="inlineStr">
        <is>
          <t>Persona</t>
        </is>
      </c>
      <c r="C1" s="2" t="inlineStr">
        <is>
          <t>Story (I want to...)</t>
        </is>
      </c>
      <c r="D1" s="2" t="inlineStr">
        <is>
          <t>Priority (MoSCoW)</t>
        </is>
      </c>
      <c r="E1" s="2" t="inlineStr">
        <is>
          <t>Screens</t>
        </is>
      </c>
      <c r="F1" s="2" t="inlineStr">
        <is>
          <t>Flow / diagram</t>
        </is>
      </c>
      <c r="G1" s="2" t="inlineStr">
        <is>
          <t>Tests</t>
        </is>
      </c>
      <c r="H1" s="2" t="inlineStr">
        <is>
          <t>Status</t>
        </is>
      </c>
    </row>
    <row r="2">
      <c r="A2" s="3" t="inlineStr">
        <is>
          <t>US-01</t>
        </is>
      </c>
      <c r="B2" s="3" t="inlineStr">
        <is>
          <t>Patron (Priya)</t>
        </is>
      </c>
      <c r="C2" s="3" t="inlineStr">
        <is>
          <t>Search the catalogue by title word or code with filters</t>
        </is>
      </c>
      <c r="D2" s="3" t="inlineStr">
        <is>
          <t>Must</t>
        </is>
      </c>
      <c r="E2" s="3" t="inlineStr">
        <is>
          <t>Public Search</t>
        </is>
      </c>
      <c r="F2" s="3" t="inlineStr">
        <is>
          <t>F01</t>
        </is>
      </c>
      <c r="G2" s="3" t="inlineStr">
        <is>
          <t>HomeControllerTests, BranchIntegrationTests</t>
        </is>
      </c>
      <c r="H2" s="3" t="inlineStr">
        <is>
          <t>Met</t>
        </is>
      </c>
    </row>
    <row r="3">
      <c r="A3" s="3" t="inlineStr">
        <is>
          <t>US-02</t>
        </is>
      </c>
      <c r="B3" s="3" t="inlineStr">
        <is>
          <t>Patron (Priya, Alice)</t>
        </is>
      </c>
      <c r="C3" s="3" t="inlineStr">
        <is>
          <t>Kiosk sign-in with card and PIN</t>
        </is>
      </c>
      <c r="D3" s="3" t="inlineStr">
        <is>
          <t>Must</t>
        </is>
      </c>
      <c r="E3" s="3" t="inlineStr">
        <is>
          <t>Kiosk welcome</t>
        </is>
      </c>
      <c r="F3" s="3" t="inlineStr">
        <is>
          <t>F02, F06</t>
        </is>
      </c>
      <c r="G3" s="3" t="inlineStr">
        <is>
          <t>KioskPinTests, KioskSessionTests, KioskControllerTests</t>
        </is>
      </c>
      <c r="H3" s="3" t="inlineStr">
        <is>
          <t>Met</t>
        </is>
      </c>
    </row>
    <row r="4">
      <c r="A4" s="3" t="inlineStr">
        <is>
          <t>US-03</t>
        </is>
      </c>
      <c r="B4" s="3" t="inlineStr">
        <is>
          <t>Patron</t>
        </is>
      </c>
      <c r="C4" s="3" t="inlineStr">
        <is>
          <t>Borrow at the kiosk by scanning the code</t>
        </is>
      </c>
      <c r="D4" s="3" t="inlineStr">
        <is>
          <t>Must</t>
        </is>
      </c>
      <c r="E4" s="3" t="inlineStr">
        <is>
          <t>Kiosk account</t>
        </is>
      </c>
      <c r="F4" s="3" t="inlineStr">
        <is>
          <t>F02</t>
        </is>
      </c>
      <c r="G4" s="3" t="inlineStr">
        <is>
          <t>KioskServiceTests, IntegrationFixTests</t>
        </is>
      </c>
      <c r="H4" s="3" t="inlineStr">
        <is>
          <t>Met</t>
        </is>
      </c>
    </row>
    <row r="5">
      <c r="A5" s="3" t="inlineStr">
        <is>
          <t>US-04</t>
        </is>
      </c>
      <c r="B5" s="3" t="inlineStr">
        <is>
          <t>Patron (Alice)</t>
        </is>
      </c>
      <c r="C5" s="3" t="inlineStr">
        <is>
          <t>See loans, due dates, fines and holds</t>
        </is>
      </c>
      <c r="D5" s="3" t="inlineStr">
        <is>
          <t>Must</t>
        </is>
      </c>
      <c r="E5" s="3" t="inlineStr">
        <is>
          <t>Kiosk account</t>
        </is>
      </c>
      <c r="F5" s="3" t="inlineStr">
        <is>
          <t>F02</t>
        </is>
      </c>
      <c r="G5" s="3" t="inlineStr">
        <is>
          <t>KioskControllerTests, KioskSessionTests</t>
        </is>
      </c>
      <c r="H5" s="3" t="inlineStr">
        <is>
          <t>Met</t>
        </is>
      </c>
    </row>
    <row r="6">
      <c r="A6" s="3" t="inlineStr">
        <is>
          <t>US-05</t>
        </is>
      </c>
      <c r="B6" s="3" t="inlineStr">
        <is>
          <t>Patron (Alice)</t>
        </is>
      </c>
      <c r="C6" s="3" t="inlineStr">
        <is>
          <t>Reserve an item that is out</t>
        </is>
      </c>
      <c r="D6" s="3" t="inlineStr">
        <is>
          <t>Must</t>
        </is>
      </c>
      <c r="E6" s="3" t="inlineStr">
        <is>
          <t>Reservations</t>
        </is>
      </c>
      <c r="F6" s="3" t="inlineStr">
        <is>
          <t>F03</t>
        </is>
      </c>
      <c r="G6" s="3" t="inlineStr">
        <is>
          <t>NotificationAndQueueTests, ReservationExpiryTests, IntegrationFixTests</t>
        </is>
      </c>
      <c r="H6" s="3" t="inlineStr">
        <is>
          <t>Met</t>
        </is>
      </c>
    </row>
    <row r="7">
      <c r="A7" s="3" t="inlineStr">
        <is>
          <t>US-06</t>
        </is>
      </c>
      <c r="B7" s="3" t="inlineStr">
        <is>
          <t>Patron (Alice)</t>
        </is>
      </c>
      <c r="C7" s="3" t="inlineStr">
        <is>
          <t>Be told when borrowing, nearly due, fined</t>
        </is>
      </c>
      <c r="D7" s="3" t="inlineStr">
        <is>
          <t>Must</t>
        </is>
      </c>
      <c r="E7" s="3" t="inlineStr">
        <is>
          <t>Notifications</t>
        </is>
      </c>
      <c r="F7" s="3" t="inlineStr">
        <is>
          <t>F04</t>
        </is>
      </c>
      <c r="G7" s="3" t="inlineStr">
        <is>
          <t>NotificationAndQueueTests, DueDateReminderServiceTests, OverdueFineNoticeTests</t>
        </is>
      </c>
      <c r="H7" s="3" t="inlineStr">
        <is>
          <t>Met</t>
        </is>
      </c>
    </row>
    <row r="8">
      <c r="A8" s="3" t="inlineStr">
        <is>
          <t>US-07</t>
        </is>
      </c>
      <c r="B8" s="3" t="inlineStr">
        <is>
          <t>Reception (Grace)</t>
        </is>
      </c>
      <c r="C8" s="3" t="inlineStr">
        <is>
          <t>Lend and return only my branch's items</t>
        </is>
      </c>
      <c r="D8" s="3" t="inlineStr">
        <is>
          <t>Must</t>
        </is>
      </c>
      <c r="E8" s="3" t="inlineStr">
        <is>
          <t>Loans</t>
        </is>
      </c>
      <c r="F8" s="3" t="inlineStr">
        <is>
          <t>D04</t>
        </is>
      </c>
      <c r="G8" s="3" t="inlineStr">
        <is>
          <t>BranchIntegrationTests, LoansControllerTests</t>
        </is>
      </c>
      <c r="H8" s="3" t="inlineStr">
        <is>
          <t>Met</t>
        </is>
      </c>
    </row>
    <row r="9">
      <c r="A9" s="3" t="inlineStr">
        <is>
          <t>US-08</t>
        </is>
      </c>
      <c r="B9" s="3" t="inlineStr">
        <is>
          <t>Reception (Grace)</t>
        </is>
      </c>
      <c r="C9" s="3" t="inlineStr">
        <is>
          <t>Request and track transfers</t>
        </is>
      </c>
      <c r="D9" s="3" t="inlineStr">
        <is>
          <t>Must</t>
        </is>
      </c>
      <c r="E9" s="3" t="inlineStr">
        <is>
          <t>Transfers</t>
        </is>
      </c>
      <c r="F9" s="3" t="inlineStr">
        <is>
          <t>F05</t>
        </is>
      </c>
      <c r="G9" s="3" t="inlineStr">
        <is>
          <t>TransferTests</t>
        </is>
      </c>
      <c r="H9" s="3" t="inlineStr">
        <is>
          <t>Met</t>
        </is>
      </c>
    </row>
    <row r="10">
      <c r="A10" s="3" t="inlineStr">
        <is>
          <t>US-09</t>
        </is>
      </c>
      <c r="B10" s="3" t="inlineStr">
        <is>
          <t>Reception (Grace)</t>
        </is>
      </c>
      <c r="C10" s="3" t="inlineStr">
        <is>
          <t>Set or reset a kiosk PIN</t>
        </is>
      </c>
      <c r="D10" s="3" t="inlineStr">
        <is>
          <t>Must</t>
        </is>
      </c>
      <c r="E10" s="3" t="inlineStr">
        <is>
          <t>Borrowers, Set PIN</t>
        </is>
      </c>
      <c r="F10" s="3" t="inlineStr">
        <is>
          <t>F02</t>
        </is>
      </c>
      <c r="G10" s="3" t="inlineStr">
        <is>
          <t>KioskPinTests</t>
        </is>
      </c>
      <c r="H10" s="3" t="inlineStr">
        <is>
          <t>Met</t>
        </is>
      </c>
    </row>
    <row r="11">
      <c r="A11" s="3" t="inlineStr">
        <is>
          <t>US-10</t>
        </is>
      </c>
      <c r="B11" s="3" t="inlineStr">
        <is>
          <t>Admin (Ahmed)</t>
        </is>
      </c>
      <c r="C11" s="3" t="inlineStr">
        <is>
          <t>Set up a branch and its Reception account</t>
        </is>
      </c>
      <c r="D11" s="3" t="inlineStr">
        <is>
          <t>Must</t>
        </is>
      </c>
      <c r="E11" s="3" t="inlineStr">
        <is>
          <t>Branches, Staff</t>
        </is>
      </c>
      <c r="F11" s="3" t="inlineStr">
        <is>
          <t>D04, Storyboard 3</t>
        </is>
      </c>
      <c r="G11" s="3" t="inlineStr">
        <is>
          <t>BranchesControllerTests, StaffControllerTests</t>
        </is>
      </c>
      <c r="H11" s="3" t="inlineStr">
        <is>
          <t>Met</t>
        </is>
      </c>
    </row>
    <row r="12">
      <c r="A12" s="3" t="inlineStr">
        <is>
          <t>US-11</t>
        </is>
      </c>
      <c r="B12" s="3" t="inlineStr">
        <is>
          <t>Admin (Ahmed)</t>
        </is>
      </c>
      <c r="C12" s="3" t="inlineStr">
        <is>
          <t>Import many items from CSV</t>
        </is>
      </c>
      <c r="D12" s="3" t="inlineStr">
        <is>
          <t>Must</t>
        </is>
      </c>
      <c r="E12" s="3" t="inlineStr">
        <is>
          <t>Import</t>
        </is>
      </c>
      <c r="F12" s="3" t="inlineStr">
        <is>
          <t>Susan journey 3</t>
        </is>
      </c>
      <c r="G12" s="3" t="inlineStr">
        <is>
          <t>ItemImportServiceTests</t>
        </is>
      </c>
      <c r="H12" s="3" t="inlineStr">
        <is>
          <t>Met</t>
        </is>
      </c>
    </row>
    <row r="13">
      <c r="A13" s="3" t="inlineStr">
        <is>
          <t>US-12</t>
        </is>
      </c>
      <c r="B13" s="3" t="inlineStr">
        <is>
          <t>Manager (Daniel)</t>
        </is>
      </c>
      <c r="C13" s="3" t="inlineStr">
        <is>
          <t>Export reports as CSV and PDF</t>
        </is>
      </c>
      <c r="D13" s="3" t="inlineStr">
        <is>
          <t>Must</t>
        </is>
      </c>
      <c r="E13" s="3" t="inlineStr">
        <is>
          <t>Statistics</t>
        </is>
      </c>
      <c r="F13" s="3" t="inlineStr">
        <is>
          <t>J04</t>
        </is>
      </c>
      <c r="G13" s="3" t="inlineStr">
        <is>
          <t>ReportTests</t>
        </is>
      </c>
      <c r="H13" s="3" t="inlineStr">
        <is>
          <t>Met</t>
        </is>
      </c>
    </row>
    <row r="14">
      <c r="A14" s="3" t="inlineStr">
        <is>
          <t>US-13</t>
        </is>
      </c>
      <c r="B14" s="3" t="inlineStr">
        <is>
          <t>Developer (Sam)</t>
        </is>
      </c>
      <c r="C14" s="3" t="inlineStr">
        <is>
          <t>Query catalogue through a read-only API</t>
        </is>
      </c>
      <c r="D14" s="3" t="inlineStr">
        <is>
          <t>Must</t>
        </is>
      </c>
      <c r="E14" s="3" t="inlineStr">
        <is>
          <t>API JSON</t>
        </is>
      </c>
      <c r="F14" s="3" t="inlineStr">
        <is>
          <t>Susan journey 2</t>
        </is>
      </c>
      <c r="G14" s="3" t="inlineStr">
        <is>
          <t>CatalogueApiTests</t>
        </is>
      </c>
      <c r="H14" s="3" t="inlineStr">
        <is>
          <t>Met</t>
        </is>
      </c>
    </row>
    <row r="15">
      <c r="A15" s="3" t="inlineStr">
        <is>
          <t>US-14</t>
        </is>
      </c>
      <c r="B15" s="3" t="inlineStr">
        <is>
          <t>Library IT staff</t>
        </is>
      </c>
      <c r="C15" s="3" t="inlineStr">
        <is>
          <t>Install at a new location with one manual</t>
        </is>
      </c>
      <c r="D15" s="3" t="inlineStr">
        <is>
          <t>Must</t>
        </is>
      </c>
      <c r="E15" s="3" t="inlineStr">
        <is>
          <t>Installation Manual</t>
        </is>
      </c>
      <c r="F15" s="3" t="inlineStr">
        <is>
          <t>D04</t>
        </is>
      </c>
      <c r="G15" s="3" t="inlineStr">
        <is>
          <t>Manual test on macOS</t>
        </is>
      </c>
      <c r="H15" s="3" t="inlineStr">
        <is>
          <t>Partly met (VM outstanding)</t>
        </is>
      </c>
    </row>
    <row r="16">
      <c r="A16" s="3" t="inlineStr">
        <is>
          <t>US-15</t>
        </is>
      </c>
      <c r="B16" s="3" t="inlineStr">
        <is>
          <t>Reception (Grace)</t>
        </is>
      </c>
      <c r="C16" s="3" t="inlineStr">
        <is>
          <t>Expire uncollected holds</t>
        </is>
      </c>
      <c r="D16" s="3" t="inlineStr">
        <is>
          <t>Should</t>
        </is>
      </c>
      <c r="E16" s="3" t="inlineStr">
        <is>
          <t>Reservations</t>
        </is>
      </c>
      <c r="F16" s="3" t="inlineStr">
        <is>
          <t>F03</t>
        </is>
      </c>
      <c r="G16" s="3" t="inlineStr">
        <is>
          <t>ReservationExpiryTests</t>
        </is>
      </c>
      <c r="H16" s="3" t="inlineStr">
        <is>
          <t>Met</t>
        </is>
      </c>
    </row>
    <row r="17">
      <c r="A17" s="3" t="inlineStr">
        <is>
          <t>US-16</t>
        </is>
      </c>
      <c r="B17" s="3" t="inlineStr">
        <is>
          <t>Patron (Alice)</t>
        </is>
      </c>
      <c r="C17" s="3" t="inlineStr">
        <is>
          <t>Set or change my own PIN</t>
        </is>
      </c>
      <c r="D17" s="3" t="inlineStr">
        <is>
          <t>Could</t>
        </is>
      </c>
      <c r="E17" s="3" t="inlineStr">
        <is>
          <t>Not built</t>
        </is>
      </c>
      <c r="F17" s="3" t="inlineStr"/>
      <c r="G17" s="3" t="inlineStr"/>
      <c r="H17" s="3" t="inlineStr">
        <is>
          <t>Not built</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6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50" customWidth="1" min="3" max="3"/>
    <col width="24" customWidth="1" min="4" max="4"/>
    <col width="14" customWidth="1" min="5" max="5"/>
    <col width="12" customWidth="1" min="6" max="6"/>
    <col width="34" customWidth="1" min="7" max="7"/>
    <col width="40" customWidth="1" min="8" max="8"/>
  </cols>
  <sheetData>
    <row r="1">
      <c r="A1" s="2" t="inlineStr">
        <is>
          <t>ID</t>
        </is>
      </c>
      <c r="B1" s="2" t="inlineStr">
        <is>
          <t>Area</t>
        </is>
      </c>
      <c r="C1" s="2" t="inlineStr">
        <is>
          <t>Task</t>
        </is>
      </c>
      <c r="D1" s="2" t="inlineStr">
        <is>
          <t>Allocated to</t>
        </is>
      </c>
      <c r="E1" s="2" t="inlineStr">
        <is>
          <t>Estimated hours (12 Oct)</t>
        </is>
      </c>
      <c r="F1" s="2" t="inlineStr">
        <is>
          <t>Actual hours</t>
        </is>
      </c>
      <c r="G1" s="2" t="inlineStr">
        <is>
          <t>Deliverable</t>
        </is>
      </c>
      <c r="H1" s="2" t="inlineStr">
        <is>
          <t>Status</t>
        </is>
      </c>
    </row>
    <row r="2">
      <c r="A2" s="3" t="inlineStr">
        <is>
          <t>G-01</t>
        </is>
      </c>
      <c r="B2" s="3" t="inlineStr">
        <is>
          <t>Shared</t>
        </is>
      </c>
      <c r="C2" s="3" t="inlineStr">
        <is>
          <t>Analyse the brief and agree the split into three sections</t>
        </is>
      </c>
      <c r="D2" s="3" t="inlineStr">
        <is>
          <t>All</t>
        </is>
      </c>
      <c r="E2" s="3" t="n">
        <v>9</v>
      </c>
      <c r="F2" s="4" t="n"/>
      <c r="G2" s="3" t="inlineStr">
        <is>
          <t>Agreed scope and section owners</t>
        </is>
      </c>
      <c r="H2" s="3" t="inlineStr">
        <is>
          <t>Done before 11 Oct</t>
        </is>
      </c>
    </row>
    <row r="3">
      <c r="A3" s="3" t="inlineStr">
        <is>
          <t>G-02</t>
        </is>
      </c>
      <c r="B3" s="3" t="inlineStr">
        <is>
          <t>Shared</t>
        </is>
      </c>
      <c r="C3" s="3" t="inlineStr">
        <is>
          <t>Team coordination and meetings</t>
        </is>
      </c>
      <c r="D3" s="3" t="inlineStr">
        <is>
          <t>All</t>
        </is>
      </c>
      <c r="E3" s="3" t="n">
        <v>12</v>
      </c>
      <c r="F3" s="4" t="n"/>
      <c r="G3" s="3" t="inlineStr">
        <is>
          <t>Coordination records</t>
        </is>
      </c>
      <c r="H3" s="3" t="inlineStr">
        <is>
          <t>Done; see coordination records</t>
        </is>
      </c>
    </row>
    <row r="4">
      <c r="A4" s="3" t="inlineStr">
        <is>
          <t>G-03</t>
        </is>
      </c>
      <c r="B4" s="3" t="inlineStr">
        <is>
          <t>Shared</t>
        </is>
      </c>
      <c r="C4" s="3" t="inlineStr">
        <is>
          <t>Integration testing of all sections</t>
        </is>
      </c>
      <c r="D4" s="3" t="inlineStr">
        <is>
          <t>All</t>
        </is>
      </c>
      <c r="E4" s="3" t="n">
        <v>9</v>
      </c>
      <c r="F4" s="4" t="n"/>
      <c r="G4" s="3" t="inlineStr">
        <is>
          <t>Test records</t>
        </is>
      </c>
      <c r="H4" s="3" t="inlineStr">
        <is>
          <t>Done: macOS (Ashesh), Windows 11 PCs (Milan, Susan); designated VM test pending</t>
        </is>
      </c>
    </row>
    <row r="5">
      <c r="A5" s="3" t="inlineStr">
        <is>
          <t>G-04</t>
        </is>
      </c>
      <c r="B5" s="3" t="inlineStr">
        <is>
          <t>Shared</t>
        </is>
      </c>
      <c r="C5" s="3" t="inlineStr">
        <is>
          <t>Final submission preparation and portfolio review</t>
        </is>
      </c>
      <c r="D5" s="3" t="inlineStr">
        <is>
          <t>All</t>
        </is>
      </c>
      <c r="E5" s="3" t="n">
        <v>6</v>
      </c>
      <c r="F5" s="4" t="n"/>
      <c r="G5" s="3" t="inlineStr">
        <is>
          <t>Submitted portfolio and repository</t>
        </is>
      </c>
      <c r="H5" s="3" t="inlineStr">
        <is>
          <t>Ready for final review</t>
        </is>
      </c>
    </row>
    <row r="6">
      <c r="A6" s="3" t="inlineStr">
        <is>
          <t>S1-01</t>
        </is>
      </c>
      <c r="B6" s="3" t="inlineStr">
        <is>
          <t>Section 1</t>
        </is>
      </c>
      <c r="C6" s="3" t="inlineStr">
        <is>
          <t>Review baseline; design branch and transfer model</t>
        </is>
      </c>
      <c r="D6" s="3" t="inlineStr">
        <is>
          <t>Ashesh</t>
        </is>
      </c>
      <c r="E6" s="3" t="n">
        <v>3</v>
      </c>
      <c r="F6" s="3" t="n">
        <v>2</v>
      </c>
      <c r="G6" s="3" t="inlineStr">
        <is>
          <t>docs/SECTION1_MULTIBRANCH_ANALYTICS.md</t>
        </is>
      </c>
      <c r="H6" s="3" t="inlineStr">
        <is>
          <t>Done, merged (PR #1)</t>
        </is>
      </c>
    </row>
    <row r="7">
      <c r="A7" s="3" t="inlineStr">
        <is>
          <t>S1-02</t>
        </is>
      </c>
      <c r="B7" s="3" t="inlineStr">
        <is>
          <t>Section 1</t>
        </is>
      </c>
      <c r="C7" s="3" t="inlineStr">
        <is>
          <t>Database design and migrations; upgrade test on a copy of the Assignment 2 database</t>
        </is>
      </c>
      <c r="D7" s="3" t="inlineStr">
        <is>
          <t>Ashesh</t>
        </is>
      </c>
      <c r="E7" s="3" t="n">
        <v>4</v>
      </c>
      <c r="F7" s="3" t="n">
        <v>3</v>
      </c>
      <c r="G7" s="3" t="inlineStr">
        <is>
          <t>AddBranchesAndTransfers, AddItemMovementKind</t>
        </is>
      </c>
      <c r="H7" s="3" t="inlineStr">
        <is>
          <t>Done, merged (PR #1)</t>
        </is>
      </c>
    </row>
    <row r="8">
      <c r="A8" s="3" t="inlineStr">
        <is>
          <t>S1-03</t>
        </is>
      </c>
      <c r="B8" s="3" t="inlineStr">
        <is>
          <t>Section 1</t>
        </is>
      </c>
      <c r="C8" s="3" t="inlineStr">
        <is>
          <t>Branch management backend and views</t>
        </is>
      </c>
      <c r="D8" s="3" t="inlineStr">
        <is>
          <t>Ashesh</t>
        </is>
      </c>
      <c r="E8" s="3" t="n">
        <v>4</v>
      </c>
      <c r="F8" s="3" t="n">
        <v>2.5</v>
      </c>
      <c r="G8" s="3" t="inlineStr">
        <is>
          <t>BranchesController, Views/Branches</t>
        </is>
      </c>
      <c r="H8" s="3" t="inlineStr">
        <is>
          <t>Done, merged (PR #1)</t>
        </is>
      </c>
    </row>
    <row r="9">
      <c r="A9" s="3" t="inlineStr">
        <is>
          <t>S1-04</t>
        </is>
      </c>
      <c r="B9" s="3" t="inlineStr">
        <is>
          <t>Section 1</t>
        </is>
      </c>
      <c r="C9" s="3" t="inlineStr">
        <is>
          <t>Branches in items, staff, loans, public search, seeder, navigation</t>
        </is>
      </c>
      <c r="D9" s="3" t="inlineStr">
        <is>
          <t>Ashesh</t>
        </is>
      </c>
      <c r="E9" s="3" t="n">
        <v>5</v>
      </c>
      <c r="F9" s="3" t="n">
        <v>3</v>
      </c>
      <c r="G9" s="3" t="inlineStr">
        <is>
          <t>Updated controllers and views</t>
        </is>
      </c>
      <c r="H9" s="3" t="inlineStr">
        <is>
          <t>Done, merged (PR #1)</t>
        </is>
      </c>
    </row>
    <row r="10">
      <c r="A10" s="3" t="inlineStr">
        <is>
          <t>S1-05</t>
        </is>
      </c>
      <c r="B10" s="3" t="inlineStr">
        <is>
          <t>Section 1</t>
        </is>
      </c>
      <c r="C10" s="3" t="inlineStr">
        <is>
          <t>Inter-branch transfer workflow</t>
        </is>
      </c>
      <c r="D10" s="3" t="inlineStr">
        <is>
          <t>Ashesh</t>
        </is>
      </c>
      <c r="E10" s="3" t="n">
        <v>7</v>
      </c>
      <c r="F10" s="3" t="n">
        <v>4.5</v>
      </c>
      <c r="G10" s="3" t="inlineStr">
        <is>
          <t>TransferService, TransfersController</t>
        </is>
      </c>
      <c r="H10" s="3" t="inlineStr">
        <is>
          <t>Done, merged (PR #1)</t>
        </is>
      </c>
    </row>
    <row r="11">
      <c r="A11" s="3" t="inlineStr">
        <is>
          <t>S1-06</t>
        </is>
      </c>
      <c r="B11" s="3" t="inlineStr">
        <is>
          <t>Section 1</t>
        </is>
      </c>
      <c r="C11" s="3" t="inlineStr">
        <is>
          <t>Location correction and cross-branch returns with movement history</t>
        </is>
      </c>
      <c r="D11" s="3" t="inlineStr">
        <is>
          <t>Ashesh</t>
        </is>
      </c>
      <c r="E11" s="3" t="n">
        <v>3</v>
      </c>
      <c r="F11" s="3" t="n">
        <v>2</v>
      </c>
      <c r="G11" s="3" t="inlineStr">
        <is>
          <t>CorrectBranch action, item movements</t>
        </is>
      </c>
      <c r="H11" s="3" t="inlineStr">
        <is>
          <t>Done, merged (PR #1)</t>
        </is>
      </c>
    </row>
    <row r="12">
      <c r="A12" s="3" t="inlineStr">
        <is>
          <t>S1-07</t>
        </is>
      </c>
      <c r="B12" s="3" t="inlineStr">
        <is>
          <t>Section 1</t>
        </is>
      </c>
      <c r="C12" s="3" t="inlineStr">
        <is>
          <t>Report service: borrowing, fine revenue audit, inventory health</t>
        </is>
      </c>
      <c r="D12" s="3" t="inlineStr">
        <is>
          <t>Ashesh</t>
        </is>
      </c>
      <c r="E12" s="3" t="n">
        <v>6</v>
      </c>
      <c r="F12" s="3" t="n">
        <v>3.5</v>
      </c>
      <c r="G12" s="3" t="inlineStr">
        <is>
          <t>ReportService</t>
        </is>
      </c>
      <c r="H12" s="3" t="inlineStr">
        <is>
          <t>Done, merged (PR #1)</t>
        </is>
      </c>
    </row>
    <row r="13">
      <c r="A13" s="3" t="inlineStr">
        <is>
          <t>S1-08</t>
        </is>
      </c>
      <c r="B13" s="3" t="inlineStr">
        <is>
          <t>Section 1</t>
        </is>
      </c>
      <c r="C13" s="3" t="inlineStr">
        <is>
          <t>CSV export with safe escaping</t>
        </is>
      </c>
      <c r="D13" s="3" t="inlineStr">
        <is>
          <t>Ashesh</t>
        </is>
      </c>
      <c r="E13" s="3" t="n">
        <v>2</v>
      </c>
      <c r="F13" s="3" t="n">
        <v>1</v>
      </c>
      <c r="G13" s="3" t="inlineStr">
        <is>
          <t>ReportCsvWriter</t>
        </is>
      </c>
      <c r="H13" s="3" t="inlineStr">
        <is>
          <t>Done, merged (PR #1)</t>
        </is>
      </c>
    </row>
    <row r="14">
      <c r="A14" s="3" t="inlineStr">
        <is>
          <t>S1-09</t>
        </is>
      </c>
      <c r="B14" s="3" t="inlineStr">
        <is>
          <t>Section 1</t>
        </is>
      </c>
      <c r="C14" s="3" t="inlineStr">
        <is>
          <t>PDF export</t>
        </is>
      </c>
      <c r="D14" s="3" t="inlineStr">
        <is>
          <t>Ashesh</t>
        </is>
      </c>
      <c r="E14" s="3" t="n">
        <v>3</v>
      </c>
      <c r="F14" s="3" t="n">
        <v>2</v>
      </c>
      <c r="G14" s="3" t="inlineStr">
        <is>
          <t>ReportPdfService</t>
        </is>
      </c>
      <c r="H14" s="3" t="inlineStr">
        <is>
          <t>Done, merged (PR #1)</t>
        </is>
      </c>
    </row>
    <row r="15">
      <c r="A15" s="3" t="inlineStr">
        <is>
          <t>S1-10</t>
        </is>
      </c>
      <c r="B15" s="3" t="inlineStr">
        <is>
          <t>Section 1</t>
        </is>
      </c>
      <c r="C15" s="3" t="inlineStr">
        <is>
          <t>Manager dashboard and report pages; responsive styling</t>
        </is>
      </c>
      <c r="D15" s="3" t="inlineStr">
        <is>
          <t>Ashesh</t>
        </is>
      </c>
      <c r="E15" s="3" t="n">
        <v>4</v>
      </c>
      <c r="F15" s="3" t="n">
        <v>2</v>
      </c>
      <c r="G15" s="3" t="inlineStr">
        <is>
          <t>Views/Manager, site.css</t>
        </is>
      </c>
      <c r="H15" s="3" t="inlineStr">
        <is>
          <t>Done, merged (PR #1)</t>
        </is>
      </c>
    </row>
    <row r="16">
      <c r="A16" s="3" t="inlineStr">
        <is>
          <t>S1-11</t>
        </is>
      </c>
      <c r="B16" s="3" t="inlineStr">
        <is>
          <t>Section 1</t>
        </is>
      </c>
      <c r="C16" s="3" t="inlineStr">
        <is>
          <t>Automated tests for Section 1 and baseline regressions</t>
        </is>
      </c>
      <c r="D16" s="3" t="inlineStr">
        <is>
          <t>Ashesh</t>
        </is>
      </c>
      <c r="E16" s="3" t="n">
        <v>8</v>
      </c>
      <c r="F16" s="3" t="n">
        <v>4</v>
      </c>
      <c r="G16" s="3" t="inlineStr">
        <is>
          <t>132 test cases</t>
        </is>
      </c>
      <c r="H16" s="3" t="inlineStr">
        <is>
          <t>Done, merged (PR #1)</t>
        </is>
      </c>
    </row>
    <row r="17">
      <c r="A17" s="3" t="inlineStr">
        <is>
          <t>S1-12</t>
        </is>
      </c>
      <c r="B17" s="3" t="inlineStr">
        <is>
          <t>Section 1</t>
        </is>
      </c>
      <c r="C17" s="3" t="inlineStr">
        <is>
          <t>Quality assurance and defect fixes</t>
        </is>
      </c>
      <c r="D17" s="3" t="inlineStr">
        <is>
          <t>Ashesh</t>
        </is>
      </c>
      <c r="E17" s="3" t="n">
        <v>4</v>
      </c>
      <c r="F17" s="3" t="n">
        <v>1.5</v>
      </c>
      <c r="G17" s="3" t="inlineStr">
        <is>
          <t>QA results in Section 1 document</t>
        </is>
      </c>
      <c r="H17" s="3" t="inlineStr">
        <is>
          <t>Done, merged (PR #1)</t>
        </is>
      </c>
    </row>
    <row r="18">
      <c r="A18" s="3" t="inlineStr">
        <is>
          <t>S1-13</t>
        </is>
      </c>
      <c r="B18" s="3" t="inlineStr">
        <is>
          <t>Section 1</t>
        </is>
      </c>
      <c r="C18" s="3" t="inlineStr">
        <is>
          <t>Diagnose and fix the Windows-only SQLite test failure</t>
        </is>
      </c>
      <c r="D18" s="3" t="inlineStr">
        <is>
          <t>Ashesh</t>
        </is>
      </c>
      <c r="E18" s="3" t="n">
        <v>1.5</v>
      </c>
      <c r="F18" s="3" t="n">
        <v>1</v>
      </c>
      <c r="G18" s="3" t="inlineStr">
        <is>
          <t>b1f9453</t>
        </is>
      </c>
      <c r="H18" s="3" t="inlineStr">
        <is>
          <t>Done, merged (PR #2)</t>
        </is>
      </c>
    </row>
    <row r="19">
      <c r="A19" s="3" t="inlineStr">
        <is>
          <t>S1-14</t>
        </is>
      </c>
      <c r="B19" s="3" t="inlineStr">
        <is>
          <t>Section 1</t>
        </is>
      </c>
      <c r="C19" s="3" t="inlineStr">
        <is>
          <t>Section 1 technical documentation</t>
        </is>
      </c>
      <c r="D19" s="3" t="inlineStr">
        <is>
          <t>Ashesh</t>
        </is>
      </c>
      <c r="E19" s="3" t="n">
        <v>3</v>
      </c>
      <c r="F19" s="3" t="n">
        <v>1.5</v>
      </c>
      <c r="G19" s="3" t="inlineStr">
        <is>
          <t>docs/SECTION1_MULTIBRANCH_ANALYTICS.md</t>
        </is>
      </c>
      <c r="H19" s="3" t="inlineStr">
        <is>
          <t>Done, merged (PR #1)</t>
        </is>
      </c>
    </row>
    <row r="20">
      <c r="A20" s="3" t="inlineStr">
        <is>
          <t>S2-01</t>
        </is>
      </c>
      <c r="B20" s="3" t="inlineStr">
        <is>
          <t>Section 2</t>
        </is>
      </c>
      <c r="C20" s="3" t="inlineStr">
        <is>
          <t>Requirements analysis and design: kiosk, API, import</t>
        </is>
      </c>
      <c r="D20" s="3" t="inlineStr">
        <is>
          <t>Susan</t>
        </is>
      </c>
      <c r="E20" s="3" t="n">
        <v>3</v>
      </c>
      <c r="F20" s="3" t="n">
        <v>1</v>
      </c>
      <c r="G20" s="3" t="inlineStr">
        <is>
          <t>docs/SECTION2_REQUIREMENTS.md</t>
        </is>
      </c>
      <c r="H20" s="3" t="inlineStr">
        <is>
          <t>Done, merged (PR #4)</t>
        </is>
      </c>
    </row>
    <row r="21">
      <c r="A21" s="3" t="inlineStr">
        <is>
          <t>S2-02</t>
        </is>
      </c>
      <c r="B21" s="3" t="inlineStr">
        <is>
          <t>Section 2</t>
        </is>
      </c>
      <c r="C21" s="3" t="inlineStr">
        <is>
          <t>Kiosk front end: branch selection, welcome, account screens</t>
        </is>
      </c>
      <c r="D21" s="3" t="inlineStr">
        <is>
          <t>Susan</t>
        </is>
      </c>
      <c r="E21" s="3" t="n">
        <v>6</v>
      </c>
      <c r="F21" s="3" t="inlineStr">
        <is>
          <t>Done with Claude (see 2.11)</t>
        </is>
      </c>
      <c r="G21" s="3" t="inlineStr">
        <is>
          <t>Views/Kiosk, kiosk.css</t>
        </is>
      </c>
      <c r="H21" s="3" t="inlineStr">
        <is>
          <t>Done, merged (PR #4)</t>
        </is>
      </c>
    </row>
    <row r="22">
      <c r="A22" s="3" t="inlineStr">
        <is>
          <t>S2-03</t>
        </is>
      </c>
      <c r="B22" s="3" t="inlineStr">
        <is>
          <t>Section 2</t>
        </is>
      </c>
      <c r="C22" s="3" t="inlineStr">
        <is>
          <t>Kiosk back end: patron identification and checkout</t>
        </is>
      </c>
      <c r="D22" s="3" t="inlineStr">
        <is>
          <t>Susan</t>
        </is>
      </c>
      <c r="E22" s="3" t="n">
        <v>7</v>
      </c>
      <c r="F22" s="3" t="inlineStr">
        <is>
          <t>Done with Claude (see 2.11)</t>
        </is>
      </c>
      <c r="G22" s="3" t="inlineStr">
        <is>
          <t>KioskController, KioskService</t>
        </is>
      </c>
      <c r="H22" s="3" t="inlineStr">
        <is>
          <t>Done, merged (PR #4)</t>
        </is>
      </c>
    </row>
    <row r="23">
      <c r="A23" s="3" t="inlineStr">
        <is>
          <t>S2-04</t>
        </is>
      </c>
      <c r="B23" s="3" t="inlineStr">
        <is>
          <t>Section 2</t>
        </is>
      </c>
      <c r="C23" s="3" t="inlineStr">
        <is>
          <t>Read-only REST API endpoints</t>
        </is>
      </c>
      <c r="D23" s="3" t="inlineStr">
        <is>
          <t>Susan</t>
        </is>
      </c>
      <c r="E23" s="3" t="n">
        <v>6</v>
      </c>
      <c r="F23" s="3" t="inlineStr">
        <is>
          <t>Done with Claude (see 2.11)</t>
        </is>
      </c>
      <c r="G23" s="3" t="inlineStr">
        <is>
          <t>CatalogueApiController</t>
        </is>
      </c>
      <c r="H23" s="3" t="inlineStr">
        <is>
          <t>Done, merged (PR #4)</t>
        </is>
      </c>
    </row>
    <row r="24">
      <c r="A24" s="3" t="inlineStr">
        <is>
          <t>S2-05</t>
        </is>
      </c>
      <c r="B24" s="3" t="inlineStr">
        <is>
          <t>Section 2</t>
        </is>
      </c>
      <c r="C24" s="3" t="inlineStr">
        <is>
          <t>API response models, filtering, API key, rate limit, documentation</t>
        </is>
      </c>
      <c r="D24" s="3" t="inlineStr">
        <is>
          <t>Susan</t>
        </is>
      </c>
      <c r="E24" s="3" t="n">
        <v>3</v>
      </c>
      <c r="F24" s="3" t="inlineStr">
        <is>
          <t>Done with Claude (see 2.11)</t>
        </is>
      </c>
      <c r="G24" s="3" t="inlineStr">
        <is>
          <t>Api/, docs/SECTION2_API.md</t>
        </is>
      </c>
      <c r="H24" s="3" t="inlineStr">
        <is>
          <t>Done, merged (PR #4)</t>
        </is>
      </c>
    </row>
    <row r="25">
      <c r="A25" s="3" t="inlineStr">
        <is>
          <t>S2-06</t>
        </is>
      </c>
      <c r="B25" s="3" t="inlineStr">
        <is>
          <t>Section 2</t>
        </is>
      </c>
      <c r="C25" s="3" t="inlineStr">
        <is>
          <t>CSV import back end: parsing and validation</t>
        </is>
      </c>
      <c r="D25" s="3" t="inlineStr">
        <is>
          <t>Susan</t>
        </is>
      </c>
      <c r="E25" s="3" t="n">
        <v>6</v>
      </c>
      <c r="F25" s="3" t="inlineStr">
        <is>
          <t>Done with Claude (see 2.11)</t>
        </is>
      </c>
      <c r="G25" s="3" t="inlineStr">
        <is>
          <t>ItemImportService, CsvReader</t>
        </is>
      </c>
      <c r="H25" s="3" t="inlineStr">
        <is>
          <t>Done, merged (PR #4)</t>
        </is>
      </c>
    </row>
    <row r="26">
      <c r="A26" s="3" t="inlineStr">
        <is>
          <t>S2-07</t>
        </is>
      </c>
      <c r="B26" s="3" t="inlineStr">
        <is>
          <t>Section 2</t>
        </is>
      </c>
      <c r="C26" s="3" t="inlineStr">
        <is>
          <t>CSV import front end: upload page and report</t>
        </is>
      </c>
      <c r="D26" s="3" t="inlineStr">
        <is>
          <t>Susan</t>
        </is>
      </c>
      <c r="E26" s="3" t="n">
        <v>4</v>
      </c>
      <c r="F26" s="3" t="inlineStr">
        <is>
          <t>Done with Claude (see 2.11)</t>
        </is>
      </c>
      <c r="G26" s="3" t="inlineStr">
        <is>
          <t>ImportController, Views/Import</t>
        </is>
      </c>
      <c r="H26" s="3" t="inlineStr">
        <is>
          <t>Done, merged (PR #4)</t>
        </is>
      </c>
    </row>
    <row r="27">
      <c r="A27" s="3" t="inlineStr">
        <is>
          <t>S2-08</t>
        </is>
      </c>
      <c r="B27" s="3" t="inlineStr">
        <is>
          <t>Section 2</t>
        </is>
      </c>
      <c r="C27" s="3" t="inlineStr">
        <is>
          <t>Database changes and migrations, if required</t>
        </is>
      </c>
      <c r="D27" s="3" t="inlineStr">
        <is>
          <t>Susan</t>
        </is>
      </c>
      <c r="E27" s="3" t="n">
        <v>2</v>
      </c>
      <c r="F27" s="3" t="inlineStr">
        <is>
          <t>0 (not needed)</t>
        </is>
      </c>
      <c r="G27" s="3" t="inlineStr">
        <is>
          <t>None needed</t>
        </is>
      </c>
      <c r="H27" s="3" t="inlineStr">
        <is>
          <t>Not needed: Section 2 added no migration</t>
        </is>
      </c>
    </row>
    <row r="28">
      <c r="A28" s="3" t="inlineStr">
        <is>
          <t>S2-09</t>
        </is>
      </c>
      <c r="B28" s="3" t="inlineStr">
        <is>
          <t>Section 2</t>
        </is>
      </c>
      <c r="C28" s="3" t="inlineStr">
        <is>
          <t>Automated tests for Section 2</t>
        </is>
      </c>
      <c r="D28" s="3" t="inlineStr">
        <is>
          <t>Susan</t>
        </is>
      </c>
      <c r="E28" s="3" t="n">
        <v>8</v>
      </c>
      <c r="F28" s="3" t="n">
        <v>0.25</v>
      </c>
      <c r="G28" s="3" t="inlineStr">
        <is>
          <t>4 test files (69 test methods)</t>
        </is>
      </c>
      <c r="H28" s="3" t="inlineStr">
        <is>
          <t>Done, merged (PR #4)</t>
        </is>
      </c>
    </row>
    <row r="29">
      <c r="A29" s="3" t="inlineStr">
        <is>
          <t>S2-10</t>
        </is>
      </c>
      <c r="B29" s="3" t="inlineStr">
        <is>
          <t>Section 2</t>
        </is>
      </c>
      <c r="C29" s="3" t="inlineStr">
        <is>
          <t>Debugging and integration with branches and reservations</t>
        </is>
      </c>
      <c r="D29" s="3" t="inlineStr">
        <is>
          <t>Susan</t>
        </is>
      </c>
      <c r="E29" s="3" t="n">
        <v>4</v>
      </c>
      <c r="F29" s="3" t="n">
        <v>0.75</v>
      </c>
      <c r="G29" s="3" t="inlineStr">
        <is>
          <t>Branch built on Section 3</t>
        </is>
      </c>
      <c r="H29" s="3" t="inlineStr">
        <is>
          <t>Done, merged (PR #4)</t>
        </is>
      </c>
    </row>
    <row r="30">
      <c r="A30" s="3" t="inlineStr">
        <is>
          <t>S2-11</t>
        </is>
      </c>
      <c r="B30" s="3" t="inlineStr">
        <is>
          <t>Section 2</t>
        </is>
      </c>
      <c r="C30" s="3" t="inlineStr">
        <is>
          <t>Section 2 documentation: notes, user guide, API reference, journeys</t>
        </is>
      </c>
      <c r="D30" s="3" t="inlineStr">
        <is>
          <t>Susan</t>
        </is>
      </c>
      <c r="E30" s="3" t="n">
        <v>3</v>
      </c>
      <c r="F30" s="3" t="n">
        <v>0.5</v>
      </c>
      <c r="G30" s="3" t="inlineStr">
        <is>
          <t>docs/SECTION2_*.md</t>
        </is>
      </c>
      <c r="H30" s="3" t="inlineStr">
        <is>
          <t>Done, merged (PR #4)</t>
        </is>
      </c>
    </row>
    <row r="31">
      <c r="A31" s="3" t="inlineStr">
        <is>
          <t>S3-01</t>
        </is>
      </c>
      <c r="B31" s="3" t="inlineStr">
        <is>
          <t>Section 3</t>
        </is>
      </c>
      <c r="C31" s="3" t="inlineStr">
        <is>
          <t>Requirements analysis and design: reservations, waitlist, notifications</t>
        </is>
      </c>
      <c r="D31" s="3" t="inlineStr">
        <is>
          <t>Milan</t>
        </is>
      </c>
      <c r="E31" s="3" t="n">
        <v>3</v>
      </c>
      <c r="F31" s="3" t="n">
        <v>2</v>
      </c>
      <c r="G31" s="3" t="inlineStr">
        <is>
          <t>docs/SECTION3_NOTES.md</t>
        </is>
      </c>
      <c r="H31" s="3" t="inlineStr">
        <is>
          <t>Done, merged (PR #3)</t>
        </is>
      </c>
    </row>
    <row r="32">
      <c r="A32" s="3" t="inlineStr">
        <is>
          <t>S3-02</t>
        </is>
      </c>
      <c r="B32" s="3" t="inlineStr">
        <is>
          <t>Section 3</t>
        </is>
      </c>
      <c r="C32" s="3" t="inlineStr">
        <is>
          <t>Notification model and migration</t>
        </is>
      </c>
      <c r="D32" s="3" t="inlineStr">
        <is>
          <t>Milan</t>
        </is>
      </c>
      <c r="E32" s="3" t="n">
        <v>2</v>
      </c>
      <c r="F32" s="3" t="n">
        <v>1.5</v>
      </c>
      <c r="G32" s="3" t="inlineStr">
        <is>
          <t>Notification, AddNotifications</t>
        </is>
      </c>
      <c r="H32" s="3" t="inlineStr">
        <is>
          <t>Done, merged (PR #3)</t>
        </is>
      </c>
    </row>
    <row r="33">
      <c r="A33" s="3" t="inlineStr">
        <is>
          <t>S3-03</t>
        </is>
      </c>
      <c r="B33" s="3" t="inlineStr">
        <is>
          <t>Section 3</t>
        </is>
      </c>
      <c r="C33" s="3" t="inlineStr">
        <is>
          <t>Notification service</t>
        </is>
      </c>
      <c r="D33" s="3" t="inlineStr">
        <is>
          <t>Milan</t>
        </is>
      </c>
      <c r="E33" s="3" t="n">
        <v>3</v>
      </c>
      <c r="F33" s="3" t="n">
        <v>2.5</v>
      </c>
      <c r="G33" s="3" t="inlineStr">
        <is>
          <t>NotificationService</t>
        </is>
      </c>
      <c r="H33" s="3" t="inlineStr">
        <is>
          <t>Done, merged (PR #3)</t>
        </is>
      </c>
    </row>
    <row r="34">
      <c r="A34" s="3" t="inlineStr">
        <is>
          <t>S3-04</t>
        </is>
      </c>
      <c r="B34" s="3" t="inlineStr">
        <is>
          <t>Section 3</t>
        </is>
      </c>
      <c r="C34" s="3" t="inlineStr">
        <is>
          <t>Notifications on borrow and on fine</t>
        </is>
      </c>
      <c r="D34" s="3" t="inlineStr">
        <is>
          <t>Milan</t>
        </is>
      </c>
      <c r="E34" s="3" t="n">
        <v>3</v>
      </c>
      <c r="F34" s="3" t="n">
        <v>2.5</v>
      </c>
      <c r="G34" s="3" t="inlineStr">
        <is>
          <t>LoansController changes</t>
        </is>
      </c>
      <c r="H34" s="3" t="inlineStr">
        <is>
          <t>Done, merged (PR #3)</t>
        </is>
      </c>
    </row>
    <row r="35">
      <c r="A35" s="3" t="inlineStr">
        <is>
          <t>S3-05</t>
        </is>
      </c>
      <c r="B35" s="3" t="inlineStr">
        <is>
          <t>Section 3</t>
        </is>
      </c>
      <c r="C35" s="3" t="inlineStr">
        <is>
          <t>Notifications dashboard and menu link</t>
        </is>
      </c>
      <c r="D35" s="3" t="inlineStr">
        <is>
          <t>Milan</t>
        </is>
      </c>
      <c r="E35" s="3" t="n">
        <v>4</v>
      </c>
      <c r="F35" s="3" t="n">
        <v>3</v>
      </c>
      <c r="G35" s="3" t="inlineStr">
        <is>
          <t>NotificationsController, Views/Notifications</t>
        </is>
      </c>
      <c r="H35" s="3" t="inlineStr">
        <is>
          <t>Done, merged (PR #3)</t>
        </is>
      </c>
    </row>
    <row r="36">
      <c r="A36" s="3" t="inlineStr">
        <is>
          <t>S3-06</t>
        </is>
      </c>
      <c r="B36" s="3" t="inlineStr">
        <is>
          <t>Section 3</t>
        </is>
      </c>
      <c r="C36" s="3" t="inlineStr">
        <is>
          <t>Reservation model and migration</t>
        </is>
      </c>
      <c r="D36" s="3" t="inlineStr">
        <is>
          <t>Milan</t>
        </is>
      </c>
      <c r="E36" s="3" t="n">
        <v>2</v>
      </c>
      <c r="F36" s="3" t="n">
        <v>2</v>
      </c>
      <c r="G36" s="3" t="inlineStr">
        <is>
          <t>Reservation, AddReservations</t>
        </is>
      </c>
      <c r="H36" s="3" t="inlineStr">
        <is>
          <t>Done, merged (PR #3)</t>
        </is>
      </c>
    </row>
    <row r="37">
      <c r="A37" s="3" t="inlineStr">
        <is>
          <t>S3-07</t>
        </is>
      </c>
      <c r="B37" s="3" t="inlineStr">
        <is>
          <t>Section 3</t>
        </is>
      </c>
      <c r="C37" s="3" t="inlineStr">
        <is>
          <t>Reservation placement and cancellation</t>
        </is>
      </c>
      <c r="D37" s="3" t="inlineStr">
        <is>
          <t>Milan</t>
        </is>
      </c>
      <c r="E37" s="3" t="n">
        <v>6</v>
      </c>
      <c r="F37" s="3" t="n">
        <v>3.5</v>
      </c>
      <c r="G37" s="3" t="inlineStr">
        <is>
          <t>ReservationsController</t>
        </is>
      </c>
      <c r="H37" s="3" t="inlineStr">
        <is>
          <t>Done, merged (PR #3)</t>
        </is>
      </c>
    </row>
    <row r="38">
      <c r="A38" s="3" t="inlineStr">
        <is>
          <t>S3-08</t>
        </is>
      </c>
      <c r="B38" s="3" t="inlineStr">
        <is>
          <t>Section 3</t>
        </is>
      </c>
      <c r="C38" s="3" t="inlineStr">
        <is>
          <t>Waitlist: notify the next borrower when an item is available</t>
        </is>
      </c>
      <c r="D38" s="3" t="inlineStr">
        <is>
          <t>Milan</t>
        </is>
      </c>
      <c r="E38" s="3" t="n">
        <v>5</v>
      </c>
      <c r="F38" s="3" t="n">
        <v>3</v>
      </c>
      <c r="G38" s="3" t="inlineStr">
        <is>
          <t>ReservationService</t>
        </is>
      </c>
      <c r="H38" s="3" t="inlineStr">
        <is>
          <t>Done, merged (PR #3)</t>
        </is>
      </c>
    </row>
    <row r="39">
      <c r="A39" s="3" t="inlineStr">
        <is>
          <t>S3-09</t>
        </is>
      </c>
      <c r="B39" s="3" t="inlineStr">
        <is>
          <t>Section 3</t>
        </is>
      </c>
      <c r="C39" s="3" t="inlineStr">
        <is>
          <t>Due-soon reminders and hold expiry</t>
        </is>
      </c>
      <c r="D39" s="3" t="inlineStr">
        <is>
          <t>Milan</t>
        </is>
      </c>
      <c r="E39" s="3" t="n">
        <v>5</v>
      </c>
      <c r="F39" s="3" t="n">
        <v>3.5</v>
      </c>
      <c r="G39" s="3" t="inlineStr">
        <is>
          <t>DueDateReminderService, expiry</t>
        </is>
      </c>
      <c r="H39" s="3" t="inlineStr">
        <is>
          <t>Done, merged (PR #3)</t>
        </is>
      </c>
    </row>
    <row r="40">
      <c r="A40" s="3" t="inlineStr">
        <is>
          <t>S3-10</t>
        </is>
      </c>
      <c r="B40" s="3" t="inlineStr">
        <is>
          <t>Section 3</t>
        </is>
      </c>
      <c r="C40" s="3" t="inlineStr">
        <is>
          <t>Reservation views; integration with branches</t>
        </is>
      </c>
      <c r="D40" s="3" t="inlineStr">
        <is>
          <t>Milan</t>
        </is>
      </c>
      <c r="E40" s="3" t="n">
        <v>4</v>
      </c>
      <c r="F40" s="3" t="n">
        <v>2</v>
      </c>
      <c r="G40" s="3" t="inlineStr">
        <is>
          <t>Views/Reservations</t>
        </is>
      </c>
      <c r="H40" s="3" t="inlineStr">
        <is>
          <t>Done, merged (PR #3)</t>
        </is>
      </c>
    </row>
    <row r="41">
      <c r="A41" s="3" t="inlineStr">
        <is>
          <t>S3-11</t>
        </is>
      </c>
      <c r="B41" s="3" t="inlineStr">
        <is>
          <t>Section 3</t>
        </is>
      </c>
      <c r="C41" s="3" t="inlineStr">
        <is>
          <t>Automated tests for Section 3</t>
        </is>
      </c>
      <c r="D41" s="3" t="inlineStr">
        <is>
          <t>Milan</t>
        </is>
      </c>
      <c r="E41" s="3" t="n">
        <v>8</v>
      </c>
      <c r="F41" s="3" t="n">
        <v>3</v>
      </c>
      <c r="G41" s="3" t="inlineStr">
        <is>
          <t>3 test files (17 test methods)</t>
        </is>
      </c>
      <c r="H41" s="3" t="inlineStr">
        <is>
          <t>Done, merged (PR #3)</t>
        </is>
      </c>
    </row>
    <row r="42">
      <c r="A42" s="3" t="inlineStr">
        <is>
          <t>S3-12</t>
        </is>
      </c>
      <c r="B42" s="3" t="inlineStr">
        <is>
          <t>Section 3</t>
        </is>
      </c>
      <c r="C42" s="3" t="inlineStr">
        <is>
          <t>Debugging, merging latest main, pull request</t>
        </is>
      </c>
      <c r="D42" s="3" t="inlineStr">
        <is>
          <t>Milan</t>
        </is>
      </c>
      <c r="E42" s="3" t="n">
        <v>4</v>
      </c>
      <c r="F42" s="3" t="n">
        <v>2</v>
      </c>
      <c r="G42" s="3" t="inlineStr">
        <is>
          <t>PR #3</t>
        </is>
      </c>
      <c r="H42" s="3" t="inlineStr">
        <is>
          <t>Done, merged (PR #3)</t>
        </is>
      </c>
    </row>
    <row r="43">
      <c r="A43" s="3" t="inlineStr">
        <is>
          <t>S3-13</t>
        </is>
      </c>
      <c r="B43" s="3" t="inlineStr">
        <is>
          <t>Section 3</t>
        </is>
      </c>
      <c r="C43" s="3" t="inlineStr">
        <is>
          <t>Section 3 documentation and screenshots</t>
        </is>
      </c>
      <c r="D43" s="3" t="inlineStr">
        <is>
          <t>Milan</t>
        </is>
      </c>
      <c r="E43" s="3" t="n">
        <v>3</v>
      </c>
      <c r="F43" s="3" t="n">
        <v>2</v>
      </c>
      <c r="G43" s="3" t="inlineStr">
        <is>
          <t>docs/SECTION3_NOTES.md, 17 screenshots</t>
        </is>
      </c>
      <c r="H43" s="3" t="inlineStr">
        <is>
          <t>Done, merged (PR #3)</t>
        </is>
      </c>
    </row>
    <row r="44">
      <c r="A44" s="3" t="inlineStr">
        <is>
          <t>X-01</t>
        </is>
      </c>
      <c r="B44" s="3" t="inlineStr">
        <is>
          <t>Cross-cutting</t>
        </is>
      </c>
      <c r="C44" s="3" t="inlineStr">
        <is>
          <t>Upgrade to .NET 10 and retest</t>
        </is>
      </c>
      <c r="D44" s="3" t="inlineStr">
        <is>
          <t>Ashesh</t>
        </is>
      </c>
      <c r="E44" s="3" t="n">
        <v>4</v>
      </c>
      <c r="F44" s="3" t="n">
        <v>0.5</v>
      </c>
      <c r="G44" s="3" t="inlineStr">
        <is>
          <t>a353210</t>
        </is>
      </c>
      <c r="H44" s="3" t="inlineStr">
        <is>
          <t>Done, merged (PR #5)</t>
        </is>
      </c>
    </row>
    <row r="45">
      <c r="A45" s="3" t="inlineStr">
        <is>
          <t>X-02</t>
        </is>
      </c>
      <c r="B45" s="3" t="inlineStr">
        <is>
          <t>Cross-cutting</t>
        </is>
      </c>
      <c r="C45" s="3" t="inlineStr">
        <is>
          <t>Add .gitignore; stop tracking bin/, obj/ and library.db</t>
        </is>
      </c>
      <c r="D45" s="3" t="inlineStr">
        <is>
          <t>Ashesh</t>
        </is>
      </c>
      <c r="E45" s="3" t="n">
        <v>1</v>
      </c>
      <c r="F45" s="3" t="n">
        <v>0.5</v>
      </c>
      <c r="G45" s="3" t="inlineStr">
        <is>
          <t>PR #7 (7c28183)</t>
        </is>
      </c>
      <c r="H45" s="3" t="inlineStr">
        <is>
          <t>Done, merged (PR #7)</t>
        </is>
      </c>
    </row>
    <row r="46">
      <c r="A46" s="3" t="inlineStr">
        <is>
          <t>X-03</t>
        </is>
      </c>
      <c r="B46" s="3" t="inlineStr">
        <is>
          <t>Cross-cutting</t>
        </is>
      </c>
      <c r="C46" s="3" t="inlineStr">
        <is>
          <t>Test the Windows fix (PR #2) on Windows 11</t>
        </is>
      </c>
      <c r="D46" s="3" t="inlineStr">
        <is>
          <t>Teammate on Windows 11</t>
        </is>
      </c>
      <c r="E46" s="3" t="n">
        <v>1</v>
      </c>
      <c r="F46" s="3" t="n">
        <v>0.5</v>
      </c>
      <c r="G46" s="3" t="inlineStr">
        <is>
          <t>Test result</t>
        </is>
      </c>
      <c r="H46" s="3" t="inlineStr">
        <is>
          <t>Done 12 Oct, before PR #2 was merged</t>
        </is>
      </c>
    </row>
    <row r="47">
      <c r="A47" s="3" t="inlineStr">
        <is>
          <t>INT-01</t>
        </is>
      </c>
      <c r="B47" s="3" t="inlineStr">
        <is>
          <t>Integration</t>
        </is>
      </c>
      <c r="C47" s="3" t="inlineStr">
        <is>
          <t>Review all sections together; 10 cross-section fixes with 34 regression tests</t>
        </is>
      </c>
      <c r="D47" s="3" t="inlineStr">
        <is>
          <t>Ashesh</t>
        </is>
      </c>
      <c r="E47" s="3" t="inlineStr">
        <is>
          <t>not estimated</t>
        </is>
      </c>
      <c r="F47" s="3" t="n">
        <v>9</v>
      </c>
      <c r="G47" s="3" t="inlineStr">
        <is>
          <t>fbd1dd3 to 8c1fd29</t>
        </is>
      </c>
      <c r="H47" s="3" t="inlineStr">
        <is>
          <t>Done, merged (PR #5)</t>
        </is>
      </c>
    </row>
    <row r="48">
      <c r="A48" s="3" t="inlineStr">
        <is>
          <t>INT-02</t>
        </is>
      </c>
      <c r="B48" s="3" t="inlineStr">
        <is>
          <t>Integration</t>
        </is>
      </c>
      <c r="C48" s="3" t="inlineStr">
        <is>
          <t>Windows test of the integration branch</t>
        </is>
      </c>
      <c r="D48" s="3" t="inlineStr">
        <is>
          <t>Milan</t>
        </is>
      </c>
      <c r="E48" s="3" t="inlineStr">
        <is>
          <t>not estimated</t>
        </is>
      </c>
      <c r="F48" s="3" t="n">
        <v>0.5</v>
      </c>
      <c r="G48" s="3" t="inlineStr">
        <is>
          <t>Test feedback</t>
        </is>
      </c>
      <c r="H48" s="3" t="inlineStr">
        <is>
          <t>Done 15 Oct; reported to Ashesh</t>
        </is>
      </c>
    </row>
    <row r="49">
      <c r="A49" s="3" t="inlineStr">
        <is>
          <t>INT-03</t>
        </is>
      </c>
      <c r="B49" s="3" t="inlineStr">
        <is>
          <t>Integration</t>
        </is>
      </c>
      <c r="C49" s="3" t="inlineStr">
        <is>
          <t>Kiosk: signed-out screen with link to main site (from Milan's test)</t>
        </is>
      </c>
      <c r="D49" s="3" t="inlineStr">
        <is>
          <t>Ashesh</t>
        </is>
      </c>
      <c r="E49" s="3" t="inlineStr">
        <is>
          <t>not estimated</t>
        </is>
      </c>
      <c r="F49" s="3" t="n">
        <v>1</v>
      </c>
      <c r="G49" s="3" t="inlineStr">
        <is>
          <t>dffb826</t>
        </is>
      </c>
      <c r="H49" s="3" t="inlineStr">
        <is>
          <t>Done, merged (PR #5)</t>
        </is>
      </c>
    </row>
    <row r="50">
      <c r="A50" s="3" t="inlineStr">
        <is>
          <t>INT-04</t>
        </is>
      </c>
      <c r="B50" s="3" t="inlineStr">
        <is>
          <t>Integration</t>
        </is>
      </c>
      <c r="C50" s="3" t="inlineStr">
        <is>
          <t>Kiosk: server-side sessions so sign-out cannot be undone</t>
        </is>
      </c>
      <c r="D50" s="3" t="inlineStr">
        <is>
          <t>Ashesh</t>
        </is>
      </c>
      <c r="E50" s="3" t="inlineStr">
        <is>
          <t>not estimated</t>
        </is>
      </c>
      <c r="F50" s="3" t="n">
        <v>4</v>
      </c>
      <c r="G50" s="3" t="inlineStr">
        <is>
          <t>4972da4</t>
        </is>
      </c>
      <c r="H50" s="3" t="inlineStr">
        <is>
          <t>Done, merged (PR #5)</t>
        </is>
      </c>
    </row>
    <row r="51">
      <c r="A51" s="3" t="inlineStr">
        <is>
          <t>INT-05</t>
        </is>
      </c>
      <c r="B51" s="3" t="inlineStr">
        <is>
          <t>Integration</t>
        </is>
      </c>
      <c r="C51" s="3" t="inlineStr">
        <is>
          <t>Kiosk: 6-digit PIN set by staff, with lockout</t>
        </is>
      </c>
      <c r="D51" s="3" t="inlineStr">
        <is>
          <t>Ashesh</t>
        </is>
      </c>
      <c r="E51" s="3" t="inlineStr">
        <is>
          <t>not estimated</t>
        </is>
      </c>
      <c r="F51" s="3" t="n">
        <v>5</v>
      </c>
      <c r="G51" s="3" t="inlineStr">
        <is>
          <t>6584094</t>
        </is>
      </c>
      <c r="H51" s="3" t="inlineStr">
        <is>
          <t>Done, merged (PR #5)</t>
        </is>
      </c>
    </row>
    <row r="52">
      <c r="A52" s="3" t="inlineStr">
        <is>
          <t>INT-06</t>
        </is>
      </c>
      <c r="B52" s="3" t="inlineStr">
        <is>
          <t>Integration</t>
        </is>
      </c>
      <c r="C52" s="3" t="inlineStr">
        <is>
          <t>Kiosk navigation, sign-in design and accessible validation</t>
        </is>
      </c>
      <c r="D52" s="3" t="inlineStr">
        <is>
          <t>Ashesh</t>
        </is>
      </c>
      <c r="E52" s="3" t="inlineStr">
        <is>
          <t>not estimated</t>
        </is>
      </c>
      <c r="F52" s="3" t="n">
        <v>3</v>
      </c>
      <c r="G52" s="3" t="inlineStr">
        <is>
          <t>6969578, af8e002</t>
        </is>
      </c>
      <c r="H52" s="3" t="inlineStr">
        <is>
          <t>Done, merged (PR #5)</t>
        </is>
      </c>
    </row>
    <row r="53">
      <c r="A53" s="3" t="inlineStr">
        <is>
          <t>INT-07</t>
        </is>
      </c>
      <c r="B53" s="3" t="inlineStr">
        <is>
          <t>Integration</t>
        </is>
      </c>
      <c r="C53" s="3" t="inlineStr">
        <is>
          <t>Merge PRs #3 to #5 and verify a fresh clone of main</t>
        </is>
      </c>
      <c r="D53" s="3" t="inlineStr">
        <is>
          <t>Ashesh</t>
        </is>
      </c>
      <c r="E53" s="3" t="inlineStr">
        <is>
          <t>not estimated</t>
        </is>
      </c>
      <c r="F53" s="3" t="n">
        <v>2</v>
      </c>
      <c r="G53" s="3" t="inlineStr">
        <is>
          <t>4b8862f; 353 tests pass</t>
        </is>
      </c>
      <c r="H53" s="3" t="inlineStr">
        <is>
          <t>Done</t>
        </is>
      </c>
    </row>
    <row r="54">
      <c r="A54" s="3" t="inlineStr">
        <is>
          <t>INT-08</t>
        </is>
      </c>
      <c r="B54" s="3" t="inlineStr">
        <is>
          <t>Integration</t>
        </is>
      </c>
      <c r="C54" s="3" t="inlineStr">
        <is>
          <t>Overdue fine notices for R3, extending the Section 3 due-date check</t>
        </is>
      </c>
      <c r="D54" s="3" t="inlineStr">
        <is>
          <t>Ashesh</t>
        </is>
      </c>
      <c r="E54" s="3" t="inlineStr">
        <is>
          <t>not estimated</t>
        </is>
      </c>
      <c r="F54" s="3" t="n">
        <v>3</v>
      </c>
      <c r="G54" s="3" t="inlineStr">
        <is>
          <t>ba03b3c; merge 55fbc1d; 374 tests pass</t>
        </is>
      </c>
      <c r="H54" s="3" t="inlineStr">
        <is>
          <t>Done, merged (PR #6)</t>
        </is>
      </c>
    </row>
    <row r="55">
      <c r="A55" s="3" t="inlineStr">
        <is>
          <t>PM-01</t>
        </is>
      </c>
      <c r="B55" s="3" t="inlineStr">
        <is>
          <t>Project management</t>
        </is>
      </c>
      <c r="C55" s="3" t="inlineStr">
        <is>
          <t>Project plan and development approach</t>
        </is>
      </c>
      <c r="D55" s="3" t="inlineStr">
        <is>
          <t>Ashesh</t>
        </is>
      </c>
      <c r="E55" s="3" t="n">
        <v>3</v>
      </c>
      <c r="F55" s="3" t="n">
        <v>1.5</v>
      </c>
      <c r="G55" s="3" t="inlineStr">
        <is>
          <t>Development Approach</t>
        </is>
      </c>
      <c r="H55" s="3" t="inlineStr">
        <is>
          <t>Done</t>
        </is>
      </c>
    </row>
    <row r="56">
      <c r="A56" s="3" t="inlineStr">
        <is>
          <t>PM-02</t>
        </is>
      </c>
      <c r="B56" s="3" t="inlineStr">
        <is>
          <t>Project management</t>
        </is>
      </c>
      <c r="C56" s="3" t="inlineStr">
        <is>
          <t>Task allocation and estimated hours</t>
        </is>
      </c>
      <c r="D56" s="3" t="inlineStr">
        <is>
          <t>Ashesh</t>
        </is>
      </c>
      <c r="E56" s="3" t="n">
        <v>1.5</v>
      </c>
      <c r="F56" s="3" t="n">
        <v>1</v>
      </c>
      <c r="G56" s="3" t="inlineStr">
        <is>
          <t>Billable Tasks</t>
        </is>
      </c>
      <c r="H56" s="3" t="inlineStr">
        <is>
          <t>Done</t>
        </is>
      </c>
    </row>
    <row r="57">
      <c r="A57" s="3" t="inlineStr">
        <is>
          <t>PM-03</t>
        </is>
      </c>
      <c r="B57" s="3" t="inlineStr">
        <is>
          <t>Project management</t>
        </is>
      </c>
      <c r="C57" s="3" t="inlineStr">
        <is>
          <t>Repository management</t>
        </is>
      </c>
      <c r="D57" s="3" t="inlineStr">
        <is>
          <t>Ashesh</t>
        </is>
      </c>
      <c r="E57" s="3" t="n">
        <v>3</v>
      </c>
      <c r="F57" s="3" t="n">
        <v>1.5</v>
      </c>
      <c r="G57" s="3" t="inlineStr">
        <is>
          <t>Project management sites and repository</t>
        </is>
      </c>
      <c r="H57" s="3" t="inlineStr">
        <is>
          <t>Done</t>
        </is>
      </c>
    </row>
    <row r="58">
      <c r="A58" s="3" t="inlineStr">
        <is>
          <t>PM-04</t>
        </is>
      </c>
      <c r="B58" s="3" t="inlineStr">
        <is>
          <t>Project management</t>
        </is>
      </c>
      <c r="C58" s="3" t="inlineStr">
        <is>
          <t>Installation and running instructions</t>
        </is>
      </c>
      <c r="D58" s="3" t="inlineStr">
        <is>
          <t>Ashesh</t>
        </is>
      </c>
      <c r="E58" s="3" t="n">
        <v>2</v>
      </c>
      <c r="F58" s="3" t="n">
        <v>2</v>
      </c>
      <c r="G58" s="3" t="inlineStr">
        <is>
          <t>Installation Manual</t>
        </is>
      </c>
      <c r="H58" s="3" t="inlineStr">
        <is>
          <t>Done</t>
        </is>
      </c>
    </row>
    <row r="59">
      <c r="A59" s="3" t="inlineStr">
        <is>
          <t>PM-05</t>
        </is>
      </c>
      <c r="B59" s="3" t="inlineStr">
        <is>
          <t>Project management</t>
        </is>
      </c>
      <c r="C59" s="3" t="inlineStr">
        <is>
          <t>README</t>
        </is>
      </c>
      <c r="D59" s="3" t="inlineStr">
        <is>
          <t>Ashesh</t>
        </is>
      </c>
      <c r="E59" s="3" t="n">
        <v>1.5</v>
      </c>
      <c r="F59" s="3" t="n">
        <v>1</v>
      </c>
      <c r="G59" s="3" t="inlineStr">
        <is>
          <t>README.md</t>
        </is>
      </c>
      <c r="H59" s="3" t="inlineStr">
        <is>
          <t>Done, merged (PR #5)</t>
        </is>
      </c>
    </row>
    <row r="60">
      <c r="A60" s="3" t="inlineStr">
        <is>
          <t>PF-01</t>
        </is>
      </c>
      <c r="B60" s="3" t="inlineStr">
        <is>
          <t>Portfolio</t>
        </is>
      </c>
      <c r="C60" s="3" t="inlineStr">
        <is>
          <t>Patron user guide</t>
        </is>
      </c>
      <c r="D60" s="3" t="inlineStr">
        <is>
          <t>Susan</t>
        </is>
      </c>
      <c r="E60" s="3" t="n">
        <v>6</v>
      </c>
      <c r="F60" s="4" t="n"/>
      <c r="G60" s="3" t="inlineStr">
        <is>
          <t>Patron User Guide</t>
        </is>
      </c>
      <c r="H60" s="3" t="inlineStr">
        <is>
          <t>Done</t>
        </is>
      </c>
    </row>
    <row r="61">
      <c r="A61" s="3" t="inlineStr">
        <is>
          <t>PF-02</t>
        </is>
      </c>
      <c r="B61" s="3" t="inlineStr">
        <is>
          <t>Portfolio</t>
        </is>
      </c>
      <c r="C61" s="3" t="inlineStr">
        <is>
          <t>Requirements document and notes</t>
        </is>
      </c>
      <c r="D61" s="3" t="inlineStr">
        <is>
          <t>Susan</t>
        </is>
      </c>
      <c r="E61" s="3" t="n">
        <v>4</v>
      </c>
      <c r="F61" s="4" t="n"/>
      <c r="G61" s="3" t="inlineStr">
        <is>
          <t>Requirements</t>
        </is>
      </c>
      <c r="H61" s="3" t="inlineStr">
        <is>
          <t>Done</t>
        </is>
      </c>
    </row>
    <row r="62">
      <c r="A62" s="3" t="inlineStr">
        <is>
          <t>PF-03</t>
        </is>
      </c>
      <c r="B62" s="3" t="inlineStr">
        <is>
          <t>Portfolio</t>
        </is>
      </c>
      <c r="C62" s="3" t="inlineStr">
        <is>
          <t>Deployment and test on the designated VM</t>
        </is>
      </c>
      <c r="D62" s="3" t="inlineStr">
        <is>
          <t>Susan</t>
        </is>
      </c>
      <c r="E62" s="3" t="n">
        <v>3</v>
      </c>
      <c r="F62" s="3" t="n">
        <v>1</v>
      </c>
      <c r="G62" s="3" t="inlineStr">
        <is>
          <t>VM test record</t>
        </is>
      </c>
      <c r="H62" s="3" t="inlineStr">
        <is>
          <t>Windows 11 PC tests done (Milan, Susan; see step 9); designated VM test pending, being arranged by Susan</t>
        </is>
      </c>
    </row>
    <row r="63">
      <c r="A63" s="3" t="inlineStr">
        <is>
          <t>PF-04</t>
        </is>
      </c>
      <c r="B63" s="3" t="inlineStr">
        <is>
          <t>Portfolio</t>
        </is>
      </c>
      <c r="C63" s="3" t="inlineStr">
        <is>
          <t>Team contract</t>
        </is>
      </c>
      <c r="D63" s="3" t="inlineStr">
        <is>
          <t>Susan</t>
        </is>
      </c>
      <c r="E63" s="3" t="n">
        <v>2</v>
      </c>
      <c r="F63" s="4" t="n"/>
      <c r="G63" s="3" t="inlineStr">
        <is>
          <t>Team Contract</t>
        </is>
      </c>
      <c r="H63" s="3" t="inlineStr">
        <is>
          <t>Done; signed by Susan and Milan, Ashesh's signature to be added</t>
        </is>
      </c>
    </row>
    <row r="64">
      <c r="A64" s="3" t="inlineStr">
        <is>
          <t>PF-05</t>
        </is>
      </c>
      <c r="B64" s="3" t="inlineStr">
        <is>
          <t>Portfolio</t>
        </is>
      </c>
      <c r="C64" s="3" t="inlineStr">
        <is>
          <t>Meeting minutes and coordination records</t>
        </is>
      </c>
      <c r="D64" s="3" t="inlineStr">
        <is>
          <t>Milan</t>
        </is>
      </c>
      <c r="E64" s="3" t="n">
        <v>4</v>
      </c>
      <c r="F64" s="4" t="n"/>
      <c r="G64" s="3" t="inlineStr">
        <is>
          <t>Coordination records</t>
        </is>
      </c>
      <c r="H64" s="3" t="inlineStr">
        <is>
          <t>Done</t>
        </is>
      </c>
    </row>
    <row r="65">
      <c r="A65" s="3" t="inlineStr">
        <is>
          <t>PF-06</t>
        </is>
      </c>
      <c r="B65" s="3" t="inlineStr">
        <is>
          <t>Portfolio</t>
        </is>
      </c>
      <c r="C65" s="3" t="inlineStr">
        <is>
          <t>Team strengths and weaknesses</t>
        </is>
      </c>
      <c r="D65" s="3" t="inlineStr">
        <is>
          <t>Milan</t>
        </is>
      </c>
      <c r="E65" s="3" t="n">
        <v>2</v>
      </c>
      <c r="F65" s="4" t="n"/>
      <c r="G65" s="3" t="inlineStr">
        <is>
          <t>Strengths and weaknesses</t>
        </is>
      </c>
      <c r="H65" s="3" t="inlineStr">
        <is>
          <t>Done</t>
        </is>
      </c>
    </row>
    <row r="66">
      <c r="A66" s="3" t="inlineStr">
        <is>
          <t>PF-07</t>
        </is>
      </c>
      <c r="B66" s="3" t="inlineStr">
        <is>
          <t>Portfolio</t>
        </is>
      </c>
      <c r="C66" s="3" t="inlineStr">
        <is>
          <t>Project-management site details and lecturer read access</t>
        </is>
      </c>
      <c r="D66" s="3" t="inlineStr">
        <is>
          <t>Ashesh</t>
        </is>
      </c>
      <c r="E66" s="3" t="n">
        <v>2</v>
      </c>
      <c r="F66" s="3" t="n">
        <v>1</v>
      </c>
      <c r="G66" s="3" t="inlineStr">
        <is>
          <t>Project management sites</t>
        </is>
      </c>
      <c r="H66" s="3" t="inlineStr">
        <is>
          <t>Done; repository made public on 16 Oct, so no invitation is needed</t>
        </is>
      </c>
    </row>
    <row r="67">
      <c r="A67" s="3" t="inlineStr">
        <is>
          <t>PF-08</t>
        </is>
      </c>
      <c r="B67" s="3" t="inlineStr">
        <is>
          <t>Portfolio</t>
        </is>
      </c>
      <c r="C67" s="3" t="inlineStr">
        <is>
          <t>Integration diagrams and user journey maps</t>
        </is>
      </c>
      <c r="D67" s="3" t="inlineStr">
        <is>
          <t>Ashesh</t>
        </is>
      </c>
      <c r="E67" s="3" t="n">
        <v>4</v>
      </c>
      <c r="F67" s="3" t="n">
        <v>2</v>
      </c>
      <c r="G67" s="3" t="inlineStr">
        <is>
          <t>System design; UX design</t>
        </is>
      </c>
      <c r="H67" s="3" t="inlineStr">
        <is>
          <t>Done</t>
        </is>
      </c>
    </row>
    <row r="68">
      <c r="A68" s="3" t="inlineStr">
        <is>
          <t>PF-09</t>
        </is>
      </c>
      <c r="B68" s="3" t="inlineStr">
        <is>
          <t>Portfolio</t>
        </is>
      </c>
      <c r="C68" s="3" t="inlineStr">
        <is>
          <t>UX design: personas, storyboards, sketches, wireframes, journeys</t>
        </is>
      </c>
      <c r="D68" s="3" t="inlineStr">
        <is>
          <t>Ashesh</t>
        </is>
      </c>
      <c r="E68" s="3" t="inlineStr">
        <is>
          <t>not estimated</t>
        </is>
      </c>
      <c r="F68" s="3" t="n">
        <v>3</v>
      </c>
      <c r="G68" s="3" t="inlineStr">
        <is>
          <t>UX Research and Design</t>
        </is>
      </c>
      <c r="H68" s="3" t="inlineStr">
        <is>
          <t>Done</t>
        </is>
      </c>
    </row>
    <row r="69">
      <c r="A69" s="3" t="inlineStr">
        <is>
          <t>PF-10</t>
        </is>
      </c>
      <c r="B69" s="3" t="inlineStr">
        <is>
          <t>Portfolio</t>
        </is>
      </c>
      <c r="C69" s="3" t="inlineStr">
        <is>
          <t>Assemble the portfolio, hand-over and PDF</t>
        </is>
      </c>
      <c r="D69" s="3" t="inlineStr">
        <is>
          <t>Ashesh</t>
        </is>
      </c>
      <c r="E69" s="3" t="inlineStr">
        <is>
          <t>not estimated</t>
        </is>
      </c>
      <c r="F69" s="3" t="n">
        <v>5.5</v>
      </c>
      <c r="G69" s="3" t="inlineStr">
        <is>
          <t>Group Portfolio</t>
        </is>
      </c>
      <c r="H69" s="3" t="inlineStr">
        <is>
          <t>Done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6" customWidth="1" min="1" max="1"/>
    <col width="22" customWidth="1" min="2" max="2"/>
    <col width="18" customWidth="1" min="3" max="3"/>
    <col width="16" customWidth="1" min="4" max="4"/>
    <col width="22" customWidth="1" min="5" max="5"/>
  </cols>
  <sheetData>
    <row r="1">
      <c r="A1" s="5" t="inlineStr">
        <is>
          <t>Member</t>
        </is>
      </c>
      <c r="B1" s="5" t="inlineStr">
        <is>
          <t>Estimated hours (own tasks)</t>
        </is>
      </c>
      <c r="C1" s="5" t="inlineStr">
        <is>
          <t>Share of "All" tasks</t>
        </is>
      </c>
      <c r="D1" s="5" t="inlineStr">
        <is>
          <t>Estimated total</t>
        </is>
      </c>
      <c r="E1" s="5" t="inlineStr">
        <is>
          <t>Actual hours (own tasks)</t>
        </is>
      </c>
    </row>
    <row r="2">
      <c r="A2" t="inlineStr">
        <is>
          <t>Ashesh</t>
        </is>
      </c>
      <c r="B2">
        <f>SUMIFS('Billable tasks'!E:E,'Billable tasks'!D:D,"Ashesh*")</f>
        <v/>
      </c>
      <c r="C2">
        <f>SUMIFS('Billable tasks'!E:E,'Billable tasks'!D:D,"All")/3</f>
        <v/>
      </c>
      <c r="D2">
        <f>B2+C2</f>
        <v/>
      </c>
      <c r="E2">
        <f>SUMIFS('Billable tasks'!F:F,'Billable tasks'!D:D,"Ashesh*")</f>
        <v/>
      </c>
    </row>
    <row r="3">
      <c r="A3" t="inlineStr">
        <is>
          <t>Susan</t>
        </is>
      </c>
      <c r="B3">
        <f>SUMIFS('Billable tasks'!E:E,'Billable tasks'!D:D,"Susan*")</f>
        <v/>
      </c>
      <c r="C3">
        <f>SUMIFS('Billable tasks'!E:E,'Billable tasks'!D:D,"All")/3</f>
        <v/>
      </c>
      <c r="D3">
        <f>B3+C3</f>
        <v/>
      </c>
      <c r="E3">
        <f>SUMIFS('Billable tasks'!F:F,'Billable tasks'!D:D,"Susan*")</f>
        <v/>
      </c>
    </row>
    <row r="4">
      <c r="A4" t="inlineStr">
        <is>
          <t>Milan</t>
        </is>
      </c>
      <c r="B4">
        <f>SUMIFS('Billable tasks'!E:E,'Billable tasks'!D:D,"Milan*")</f>
        <v/>
      </c>
      <c r="C4">
        <f>SUMIFS('Billable tasks'!E:E,'Billable tasks'!D:D,"All")/3</f>
        <v/>
      </c>
      <c r="D4">
        <f>B4+C4</f>
        <v/>
      </c>
      <c r="E4">
        <f>SUMIFS('Billable tasks'!F:F,'Billable tasks'!D:D,"Milan*")</f>
        <v/>
      </c>
    </row>
    <row r="5">
      <c r="A5" t="inlineStr">
        <is>
          <t>Unassigned</t>
        </is>
      </c>
      <c r="B5">
        <f>SUMIFS('Billable tasks'!E:E,'Billable tasks'!D:D,"Not allocated")+SUMIFS('Billable tasks'!E:E,'Billable tasks'!D:D,"Teammate*")</f>
        <v/>
      </c>
      <c r="C5" t="n">
        <v>0</v>
      </c>
      <c r="D5">
        <f>B5+C5</f>
        <v/>
      </c>
    </row>
    <row r="6">
      <c r="A6" s="6" t="inlineStr">
        <is>
          <t>Total</t>
        </is>
      </c>
      <c r="B6" s="6">
        <f>SUM(B2:B5)</f>
        <v/>
      </c>
      <c r="C6" s="6">
        <f>SUM(C2:C5)</f>
        <v/>
      </c>
      <c r="D6" s="6">
        <f>SUM(D2:D5)</f>
        <v/>
      </c>
      <c r="E6" s="6">
        <f>SUM(E2:E4)</f>
        <v/>
      </c>
    </row>
    <row r="8">
      <c r="A8" t="inlineStr">
        <is>
          <t>Estimates are planning figures from 12 October 2026, not hours worked. Expected estimated total: 241.5 hours.</t>
        </is>
      </c>
    </row>
    <row r="9">
      <c r="A9" t="inlineStr">
        <is>
          <t>Susan's total of 3.75 hours in the portfolio also includes 0.25 hours on the shared task G-04 (see Time log). Ashesh's 80 hours are retrospective estimates.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0" customWidth="1" min="3" max="3"/>
    <col width="60" customWidth="1" min="4" max="4"/>
    <col width="8" customWidth="1" min="5" max="5"/>
  </cols>
  <sheetData>
    <row r="1">
      <c r="A1" s="2" t="inlineStr">
        <is>
          <t>Date</t>
        </is>
      </c>
      <c r="B1" s="2" t="inlineStr">
        <is>
          <t>Member</t>
        </is>
      </c>
      <c r="C1" s="2" t="inlineStr">
        <is>
          <t>Task ID</t>
        </is>
      </c>
      <c r="D1" s="2" t="inlineStr">
        <is>
          <t>What was done</t>
        </is>
      </c>
      <c r="E1" s="2" t="inlineStr">
        <is>
          <t>Hours</t>
        </is>
      </c>
    </row>
    <row r="2">
      <c r="A2" s="3" t="inlineStr">
        <is>
          <t>11/10/2026</t>
        </is>
      </c>
      <c r="B2" s="3" t="inlineStr">
        <is>
          <t>Milan Sapkota</t>
        </is>
      </c>
      <c r="C2" s="3" t="inlineStr">
        <is>
          <t>S3-02, S3-03, S3-04</t>
        </is>
      </c>
      <c r="D2" s="3" t="inlineStr">
        <is>
          <t>Notification model, service, borrow and fine notifications (including setup and first run)</t>
        </is>
      </c>
      <c r="E2" s="3" t="n">
        <v>2.5</v>
      </c>
    </row>
    <row r="3">
      <c r="A3" s="3" t="inlineStr">
        <is>
          <t>12/10/2026</t>
        </is>
      </c>
      <c r="B3" s="3" t="inlineStr">
        <is>
          <t>Milan Sapkota</t>
        </is>
      </c>
      <c r="C3" s="3" t="inlineStr">
        <is>
          <t>S3-05</t>
        </is>
      </c>
      <c r="D3" s="3" t="inlineStr">
        <is>
          <t>Notifications dashboard and menu link</t>
        </is>
      </c>
      <c r="E3" s="3" t="n">
        <v>1</v>
      </c>
    </row>
    <row r="4">
      <c r="A4" s="3" t="inlineStr">
        <is>
          <t>12/10/2026</t>
        </is>
      </c>
      <c r="B4" s="3" t="inlineStr">
        <is>
          <t>Milan Sapkota</t>
        </is>
      </c>
      <c r="C4" s="3" t="inlineStr">
        <is>
          <t>S3-06, S3-07</t>
        </is>
      </c>
      <c r="D4" s="3" t="inlineStr">
        <is>
          <t>Reservation model, migration, placing and cancelling</t>
        </is>
      </c>
      <c r="E4" s="3" t="n">
        <v>2</v>
      </c>
    </row>
    <row r="5">
      <c r="A5" s="3" t="inlineStr">
        <is>
          <t>12/10/2026</t>
        </is>
      </c>
      <c r="B5" s="3" t="inlineStr">
        <is>
          <t>Milan Sapkota</t>
        </is>
      </c>
      <c r="C5" s="3" t="inlineStr">
        <is>
          <t>S3-08</t>
        </is>
      </c>
      <c r="D5" s="3" t="inlineStr">
        <is>
          <t>Notify the next borrower on return; updated loan tests</t>
        </is>
      </c>
      <c r="E5" s="3" t="n">
        <v>1.5</v>
      </c>
    </row>
    <row r="6">
      <c r="A6" s="3" t="inlineStr">
        <is>
          <t>13/10/2026</t>
        </is>
      </c>
      <c r="B6" s="3" t="inlineStr">
        <is>
          <t>Milan Sapkota</t>
        </is>
      </c>
      <c r="C6" s="3" t="inlineStr">
        <is>
          <t>S3-12, S3-10</t>
        </is>
      </c>
      <c r="D6" s="3" t="inlineStr">
        <is>
          <t>Merged main; reservation views and service</t>
        </is>
      </c>
      <c r="E6" s="3" t="n">
        <v>1.5</v>
      </c>
    </row>
    <row r="7">
      <c r="A7" s="3" t="inlineStr">
        <is>
          <t>13/10/2026</t>
        </is>
      </c>
      <c r="B7" s="3" t="inlineStr">
        <is>
          <t>Milan Sapkota</t>
        </is>
      </c>
      <c r="C7" s="3" t="inlineStr">
        <is>
          <t>S3-13</t>
        </is>
      </c>
      <c r="D7" s="3" t="inlineStr">
        <is>
          <t>Testing and reservation screenshots</t>
        </is>
      </c>
      <c r="E7" s="3" t="n">
        <v>1</v>
      </c>
    </row>
    <row r="8">
      <c r="A8" s="3" t="inlineStr">
        <is>
          <t>13/10/2026</t>
        </is>
      </c>
      <c r="B8" s="3" t="inlineStr">
        <is>
          <t>Milan Sapkota</t>
        </is>
      </c>
      <c r="C8" s="3" t="inlineStr">
        <is>
          <t>S3-08</t>
        </is>
      </c>
      <c r="D8" s="3" t="inlineStr">
        <is>
          <t>Notify queue on Admin change; Ready items kept for first borrower</t>
        </is>
      </c>
      <c r="E8" s="3" t="n">
        <v>1.5</v>
      </c>
    </row>
    <row r="9">
      <c r="A9" s="3" t="inlineStr">
        <is>
          <t>13/10/2026</t>
        </is>
      </c>
      <c r="B9" s="3" t="inlineStr">
        <is>
          <t>Milan Sapkota</t>
        </is>
      </c>
      <c r="C9" s="3" t="inlineStr">
        <is>
          <t>S3-09, S3-11</t>
        </is>
      </c>
      <c r="D9" s="3" t="inlineStr">
        <is>
          <t>Due-date reminders, hold expiry and tests</t>
        </is>
      </c>
      <c r="E9" s="3" t="n">
        <v>2.5</v>
      </c>
    </row>
    <row r="10">
      <c r="A10" s="3" t="inlineStr">
        <is>
          <t>13/10/2026</t>
        </is>
      </c>
      <c r="B10" s="3" t="inlineStr">
        <is>
          <t>Milan Sapkota</t>
        </is>
      </c>
      <c r="C10" s="3" t="inlineStr">
        <is>
          <t>S3-13, S3-12</t>
        </is>
      </c>
      <c r="D10" s="3" t="inlineStr">
        <is>
          <t>README section; opened PR #3</t>
        </is>
      </c>
      <c r="E10" s="3" t="n">
        <v>0.5</v>
      </c>
    </row>
    <row r="11">
      <c r="A11" s="3" t="inlineStr">
        <is>
          <t>15/10/2026</t>
        </is>
      </c>
      <c r="B11" s="3" t="inlineStr">
        <is>
          <t>Milan Sapkota</t>
        </is>
      </c>
      <c r="C11" s="3" t="inlineStr">
        <is>
          <t>INT-02</t>
        </is>
      </c>
      <c r="D11" s="3" t="inlineStr">
        <is>
          <t>Windows test of the integration branch and feedback</t>
        </is>
      </c>
      <c r="E11" s="3" t="n">
        <v>1.5</v>
      </c>
    </row>
    <row r="12">
      <c r="A12" s="3" t="inlineStr">
        <is>
          <t>16/10/2026</t>
        </is>
      </c>
      <c r="B12" s="3" t="inlineStr">
        <is>
          <t>Milan Sapkota</t>
        </is>
      </c>
      <c r="C12" s="3" t="inlineStr">
        <is>
          <t>INT-02</t>
        </is>
      </c>
      <c r="D12" s="3" t="inlineStr">
        <is>
          <t>Windows retest of final main and installation checks</t>
        </is>
      </c>
      <c r="E12" s="3" t="n">
        <v>1.5</v>
      </c>
    </row>
    <row r="13">
      <c r="A13" s="3" t="inlineStr">
        <is>
          <t>13/10/2026</t>
        </is>
      </c>
      <c r="B13" s="3" t="inlineStr">
        <is>
          <t>Susan Acharya</t>
        </is>
      </c>
      <c r="C13" s="3" t="inlineStr">
        <is>
          <t>S2-01</t>
        </is>
      </c>
      <c r="D13" s="3" t="inlineStr">
        <is>
          <t>Read the brief and the Section 2 scope, cloned the repository and drafted Section 2 with Claude (estimate)</t>
        </is>
      </c>
      <c r="E13" s="3" t="n">
        <v>1</v>
      </c>
    </row>
    <row r="14">
      <c r="A14" s="3" t="inlineStr">
        <is>
          <t>13/10/2026</t>
        </is>
      </c>
      <c r="B14" s="3" t="inlineStr">
        <is>
          <t>Susan Acharya</t>
        </is>
      </c>
      <c r="C14" s="3" t="inlineStr">
        <is>
          <t>S2-10, S2-09</t>
        </is>
      </c>
      <c r="D14" s="3" t="inlineStr">
        <is>
          <t>Moved my branch onto Section 3, added the Section 2 files, built and ran the app, tried the kiosk and ran all 238 tests</t>
        </is>
      </c>
      <c r="E14" s="3" t="n">
        <v>0.75</v>
      </c>
    </row>
    <row r="15">
      <c r="A15" s="3" t="inlineStr">
        <is>
          <t>13/10/2026</t>
        </is>
      </c>
      <c r="B15" s="3" t="inlineStr">
        <is>
          <t>Susan Acharya</t>
        </is>
      </c>
      <c r="C15" s="3" t="inlineStr">
        <is>
          <t>S2-10</t>
        </is>
      </c>
      <c r="D15" s="3" t="inlineStr">
        <is>
          <t>Committed and pushed Section 2, opened PR #4 against the Section 3 branch and told the team</t>
        </is>
      </c>
      <c r="E15" s="3" t="n">
        <v>0.25</v>
      </c>
    </row>
    <row r="16">
      <c r="A16" s="3" t="inlineStr">
        <is>
          <t>13/10/2026</t>
        </is>
      </c>
      <c r="B16" s="3" t="inlineStr">
        <is>
          <t>Susan Acharya</t>
        </is>
      </c>
      <c r="C16" s="3" t="inlineStr">
        <is>
          <t>S2-11</t>
        </is>
      </c>
      <c r="D16" s="3" t="inlineStr">
        <is>
          <t>Section 2 pages for the portfolio</t>
        </is>
      </c>
      <c r="E16" s="3" t="n">
        <v>0.5</v>
      </c>
    </row>
    <row r="17">
      <c r="A17" s="3" t="inlineStr">
        <is>
          <t>16/10/2026</t>
        </is>
      </c>
      <c r="B17" s="3" t="inlineStr">
        <is>
          <t>Susan Acharya</t>
        </is>
      </c>
      <c r="C17" s="3" t="inlineStr">
        <is>
          <t>G-04</t>
        </is>
      </c>
      <c r="D17" s="3" t="inlineStr">
        <is>
          <t>Read the portfolio and signed the team contract</t>
        </is>
      </c>
      <c r="E17" s="3" t="n">
        <v>0.25</v>
      </c>
    </row>
    <row r="18">
      <c r="A18" s="3" t="inlineStr">
        <is>
          <t>16/10/2026</t>
        </is>
      </c>
      <c r="B18" s="3" t="inlineStr">
        <is>
          <t>Susan Acharya</t>
        </is>
      </c>
      <c r="C18" s="3" t="inlineStr">
        <is>
          <t>PF-03</t>
        </is>
      </c>
      <c r="D18" s="3" t="inlineStr">
        <is>
          <t>Windows test of the final main (374 passed) and the nine installation checks in Edge and Firefox, with screenshots</t>
        </is>
      </c>
      <c r="E18" s="3" t="n">
        <v>1</v>
      </c>
    </row>
    <row r="19">
      <c r="A19" s="3" t="inlineStr"/>
      <c r="B19" s="3" t="inlineStr"/>
      <c r="C19" s="3" t="inlineStr"/>
      <c r="D19" s="3" t="inlineStr"/>
      <c r="E19" s="3" t="n"/>
    </row>
    <row r="20">
      <c r="A20" s="3" t="inlineStr"/>
      <c r="B20" s="3" t="inlineStr"/>
      <c r="C20" s="3" t="inlineStr"/>
      <c r="D20" s="3" t="inlineStr"/>
      <c r="E20" s="3" t="n"/>
    </row>
    <row r="21">
      <c r="A21" s="3" t="inlineStr"/>
      <c r="B21" s="3" t="inlineStr"/>
      <c r="C21" s="3" t="inlineStr"/>
      <c r="D21" s="3" t="inlineStr"/>
      <c r="E21" s="3" t="n"/>
    </row>
    <row r="22">
      <c r="A22" s="3" t="inlineStr"/>
      <c r="B22" s="3" t="inlineStr"/>
      <c r="C22" s="3" t="inlineStr"/>
      <c r="D22" s="3" t="inlineStr"/>
      <c r="E22" s="3" t="n"/>
    </row>
    <row r="23">
      <c r="A23" s="3" t="inlineStr"/>
      <c r="B23" s="3" t="inlineStr"/>
      <c r="C23" s="3" t="inlineStr"/>
      <c r="D23" s="3" t="inlineStr"/>
      <c r="E23" s="3" t="n"/>
    </row>
    <row r="24">
      <c r="A24" s="3" t="inlineStr"/>
      <c r="B24" s="3" t="inlineStr"/>
      <c r="C24" s="3" t="inlineStr"/>
      <c r="D24" s="3" t="inlineStr"/>
      <c r="E24" s="3" t="n"/>
    </row>
    <row r="25">
      <c r="A25" s="3" t="inlineStr"/>
      <c r="B25" s="3" t="inlineStr"/>
      <c r="C25" s="3" t="inlineStr"/>
      <c r="D25" s="3" t="inlineStr"/>
      <c r="E25" s="3" t="n"/>
    </row>
    <row r="26">
      <c r="A26" s="3" t="inlineStr"/>
      <c r="B26" s="3" t="inlineStr"/>
      <c r="C26" s="3" t="inlineStr"/>
      <c r="D26" s="3" t="inlineStr"/>
      <c r="E26" s="3" t="n"/>
    </row>
    <row r="27">
      <c r="A27" s="3" t="inlineStr"/>
      <c r="B27" s="3" t="inlineStr"/>
      <c r="C27" s="3" t="inlineStr"/>
      <c r="D27" s="3" t="inlineStr"/>
      <c r="E27" s="3" t="n"/>
    </row>
    <row r="28">
      <c r="A28" s="3" t="inlineStr"/>
      <c r="B28" s="3" t="inlineStr"/>
      <c r="C28" s="3" t="inlineStr"/>
      <c r="D28" s="3" t="inlineStr"/>
      <c r="E28" s="3" t="n"/>
    </row>
    <row r="29">
      <c r="A29" s="3" t="inlineStr"/>
      <c r="B29" s="3" t="inlineStr"/>
      <c r="C29" s="3" t="inlineStr"/>
      <c r="D29" s="3" t="inlineStr"/>
      <c r="E29" s="3" t="n"/>
    </row>
    <row r="30">
      <c r="A30" s="3" t="inlineStr"/>
      <c r="B30" s="3" t="inlineStr"/>
      <c r="C30" s="3" t="inlineStr"/>
      <c r="D30" s="3" t="inlineStr"/>
      <c r="E30" s="3" t="n"/>
    </row>
    <row r="31">
      <c r="A31" s="3" t="inlineStr"/>
      <c r="B31" s="3" t="inlineStr"/>
      <c r="C31" s="3" t="inlineStr"/>
      <c r="D31" s="3" t="inlineStr"/>
      <c r="E31" s="3" t="n"/>
    </row>
    <row r="32">
      <c r="A32" s="3" t="inlineStr"/>
      <c r="B32" s="3" t="inlineStr"/>
      <c r="C32" s="3" t="inlineStr"/>
      <c r="D32" s="3" t="inlineStr"/>
      <c r="E32" s="3"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2026-10-16T03:00:11Z</dcterms:created>
  <dcterms:modified xmlns:dcterms="http://purl.org/dc/terms/" xmlns:xsi="http://www.w3.org/2001/XMLSchema-instance" xsi:type="dcterms:W3CDTF">2026-10-16T10:22:36Z</dcterms:modified>
</cp:coreProperties>
</file>